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updateLinks="always"/>
  <mc:AlternateContent xmlns:mc="http://schemas.openxmlformats.org/markup-compatibility/2006">
    <mc:Choice Requires="x15">
      <x15ac:absPath xmlns:x15ac="http://schemas.microsoft.com/office/spreadsheetml/2010/11/ac" url="https://acaciahomehealth.sharepoint.com/sites/AcaciaDataKPIs/Shared Documents/Shared Company KPI Trackers/"/>
    </mc:Choice>
  </mc:AlternateContent>
  <xr:revisionPtr revIDLastSave="0" documentId="8_{D3B77C18-B28E-4638-8D49-050C67EC96AE}" xr6:coauthVersionLast="47" xr6:coauthVersionMax="47" xr10:uidLastSave="{00000000-0000-0000-0000-000000000000}"/>
  <bookViews>
    <workbookView xWindow="28680" yWindow="-120" windowWidth="29040" windowHeight="15720" xr2:uid="{430CFAE8-F9B7-4B5F-A832-DE05CB5F97D3}"/>
  </bookViews>
  <sheets>
    <sheet name="Company Scorecard" sheetId="2" r:id="rId1"/>
    <sheet name="Financial" sheetId="6" r:id="rId2"/>
    <sheet name="HR" sheetId="8" r:id="rId3"/>
    <sheet name="Avg Salary by Position" sheetId="7" r:id="rId4"/>
    <sheet name="Hospice Administrator Scorecard" sheetId="4" r:id="rId5"/>
    <sheet name="HH Admin Scorecard" sheetId="5" r:id="rId6"/>
    <sheet name="Data" sheetId="1" r:id="rId7"/>
    <sheet name="Central Support HH&amp;P" sheetId="9" r:id="rId8"/>
  </sheets>
  <externalReferences>
    <externalReference r:id="rId9"/>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D28" i="4" l="1"/>
  <c r="CD27" i="4"/>
  <c r="CD26" i="4"/>
  <c r="CD25" i="4"/>
  <c r="CF21" i="5"/>
  <c r="CF20" i="5"/>
  <c r="CF18" i="5"/>
  <c r="CF17" i="5"/>
  <c r="CF15" i="5"/>
  <c r="CF14" i="5"/>
  <c r="CF12" i="5"/>
  <c r="CF11" i="5"/>
  <c r="CF6" i="5"/>
  <c r="CF5" i="5"/>
  <c r="CF7" i="5" s="1"/>
  <c r="CF9" i="5" s="1"/>
  <c r="CF3" i="5"/>
  <c r="CE21" i="5"/>
  <c r="CE20" i="5"/>
  <c r="CE18" i="5"/>
  <c r="CE17" i="5"/>
  <c r="CE15" i="5"/>
  <c r="CE14" i="5"/>
  <c r="CE12" i="5"/>
  <c r="CE11" i="5"/>
  <c r="CE6" i="5"/>
  <c r="CE5" i="5"/>
  <c r="CE7" i="5" s="1"/>
  <c r="CE9" i="5" s="1"/>
  <c r="CE3" i="5"/>
  <c r="CE43" i="4"/>
  <c r="CE42" i="4"/>
  <c r="CE41" i="4"/>
  <c r="CE40" i="4"/>
  <c r="CE44" i="4" s="1"/>
  <c r="CE28" i="4"/>
  <c r="CE27" i="4"/>
  <c r="CE26" i="4"/>
  <c r="CE25" i="4"/>
  <c r="CE13" i="4"/>
  <c r="CE23" i="4" s="1"/>
  <c r="CE12" i="4"/>
  <c r="CE22" i="4" s="1"/>
  <c r="CE11" i="4"/>
  <c r="CE21" i="4" s="1"/>
  <c r="CE10" i="4"/>
  <c r="CE20" i="4" s="1"/>
  <c r="CE7" i="4"/>
  <c r="CE6" i="4"/>
  <c r="CE5" i="4"/>
  <c r="CE4" i="4"/>
  <c r="CE8" i="4" s="1"/>
  <c r="CE2" i="4"/>
  <c r="CD13" i="4"/>
  <c r="CD23" i="4" s="1"/>
  <c r="CD12" i="4"/>
  <c r="CD22" i="4" s="1"/>
  <c r="CD11" i="4"/>
  <c r="CD21" i="4" s="1"/>
  <c r="CD10" i="4"/>
  <c r="CD20" i="4" s="1"/>
  <c r="CD7" i="4"/>
  <c r="CD6" i="4"/>
  <c r="CD5" i="4"/>
  <c r="CD4" i="4"/>
  <c r="CD8" i="4" s="1"/>
  <c r="CD2" i="4"/>
  <c r="CK91" i="2"/>
  <c r="CK90" i="2"/>
  <c r="CK79" i="2"/>
  <c r="CK77" i="2"/>
  <c r="CK80" i="2"/>
  <c r="CK53" i="2"/>
  <c r="CK52" i="2"/>
  <c r="CK51" i="2"/>
  <c r="CK50" i="2"/>
  <c r="CK54" i="2" s="1"/>
  <c r="CK43" i="2"/>
  <c r="CK38" i="2"/>
  <c r="CK27" i="2"/>
  <c r="CK22" i="2"/>
  <c r="CK15" i="2"/>
  <c r="CK9" i="2"/>
  <c r="AK17" i="6"/>
  <c r="AK31" i="6"/>
  <c r="CL57" i="2"/>
  <c r="CL56" i="2"/>
  <c r="CL54" i="2"/>
  <c r="CL58" i="2" s="1"/>
  <c r="CL43" i="2"/>
  <c r="CL38" i="2"/>
  <c r="CL27" i="2"/>
  <c r="CL22" i="2"/>
  <c r="CL15" i="2"/>
  <c r="CL9" i="2"/>
  <c r="CL17" i="2" s="1"/>
  <c r="CL18" i="2" s="1"/>
  <c r="CL6" i="2"/>
  <c r="BZ23" i="5"/>
  <c r="BU23" i="5"/>
  <c r="BQ23" i="5"/>
  <c r="BR23" i="5"/>
  <c r="BS23" i="5"/>
  <c r="BT23" i="5"/>
  <c r="BV23" i="5"/>
  <c r="BW23" i="5"/>
  <c r="BX23" i="5"/>
  <c r="BY23" i="5"/>
  <c r="BP23" i="5"/>
  <c r="CD21" i="5"/>
  <c r="CD20" i="5"/>
  <c r="CD18" i="5"/>
  <c r="CD17" i="5"/>
  <c r="CD15" i="5"/>
  <c r="CD12" i="5"/>
  <c r="CD11" i="5"/>
  <c r="CD6" i="5"/>
  <c r="CD5" i="5"/>
  <c r="CD7" i="5" s="1"/>
  <c r="CD9" i="5" s="1"/>
  <c r="CD3" i="5"/>
  <c r="CC28" i="4"/>
  <c r="CC27" i="4"/>
  <c r="CC26" i="4"/>
  <c r="CC25" i="4"/>
  <c r="CC13" i="4"/>
  <c r="CC23" i="4" s="1"/>
  <c r="CC12" i="4"/>
  <c r="CC22" i="4" s="1"/>
  <c r="CC11" i="4"/>
  <c r="CC21" i="4" s="1"/>
  <c r="CC10" i="4"/>
  <c r="CC20" i="4" s="1"/>
  <c r="CC7" i="4"/>
  <c r="CC6" i="4"/>
  <c r="CC5" i="4"/>
  <c r="CC4" i="4"/>
  <c r="CC8" i="4" s="1"/>
  <c r="CC2" i="4"/>
  <c r="CJ79" i="2"/>
  <c r="CI86" i="2"/>
  <c r="CJ80" i="2"/>
  <c r="CJ53" i="2"/>
  <c r="CJ52" i="2"/>
  <c r="CJ51" i="2"/>
  <c r="CJ50" i="2"/>
  <c r="CJ54" i="2" s="1"/>
  <c r="CJ43" i="2"/>
  <c r="CJ38" i="2"/>
  <c r="CJ27" i="2"/>
  <c r="CJ22" i="2"/>
  <c r="CJ15" i="2"/>
  <c r="CJ9" i="2"/>
  <c r="CC21" i="5"/>
  <c r="CC20" i="5"/>
  <c r="CC18" i="5"/>
  <c r="CC17" i="5"/>
  <c r="CC12" i="5"/>
  <c r="CC11" i="5"/>
  <c r="CC6" i="5"/>
  <c r="CC5" i="5"/>
  <c r="CC7" i="5" s="1"/>
  <c r="CC9" i="5" s="1"/>
  <c r="CC3" i="5"/>
  <c r="CB28" i="4"/>
  <c r="CB27" i="4"/>
  <c r="CB26" i="4"/>
  <c r="CB25" i="4"/>
  <c r="CB13" i="4"/>
  <c r="CB23" i="4" s="1"/>
  <c r="CB12" i="4"/>
  <c r="CB22" i="4" s="1"/>
  <c r="CB11" i="4"/>
  <c r="CB21" i="4" s="1"/>
  <c r="CB10" i="4"/>
  <c r="CB20" i="4" s="1"/>
  <c r="CB7" i="4"/>
  <c r="CB6" i="4"/>
  <c r="CB5" i="4"/>
  <c r="CB4" i="4"/>
  <c r="CB8" i="4" s="1"/>
  <c r="CB2" i="4"/>
  <c r="CI79" i="2"/>
  <c r="CI80" i="2"/>
  <c r="CI53" i="2"/>
  <c r="CI52" i="2"/>
  <c r="CI51" i="2"/>
  <c r="CI50" i="2"/>
  <c r="CI54" i="2" s="1"/>
  <c r="CI43" i="2"/>
  <c r="CI38" i="2"/>
  <c r="CC15" i="5"/>
  <c r="CI27" i="2"/>
  <c r="CI22" i="2"/>
  <c r="CI15" i="2"/>
  <c r="CI91" i="2" s="1"/>
  <c r="CI9" i="2"/>
  <c r="CI90" i="2" s="1"/>
  <c r="D51" i="4"/>
  <c r="I51" i="4"/>
  <c r="J51" i="4"/>
  <c r="K51" i="4"/>
  <c r="L51" i="4"/>
  <c r="N51" i="4"/>
  <c r="O51" i="4"/>
  <c r="P51" i="4"/>
  <c r="Q51" i="4"/>
  <c r="R51" i="4"/>
  <c r="T51" i="4"/>
  <c r="U51" i="4"/>
  <c r="V51" i="4"/>
  <c r="W51" i="4"/>
  <c r="Y51" i="4"/>
  <c r="Z51" i="4"/>
  <c r="AA51" i="4"/>
  <c r="AD51" i="4"/>
  <c r="AE51" i="4"/>
  <c r="D52" i="4"/>
  <c r="E52" i="4"/>
  <c r="F52" i="4"/>
  <c r="G52" i="4"/>
  <c r="I52" i="4"/>
  <c r="J52" i="4"/>
  <c r="K52" i="4"/>
  <c r="L52" i="4"/>
  <c r="N52" i="4"/>
  <c r="O52" i="4"/>
  <c r="P52" i="4"/>
  <c r="Q52" i="4"/>
  <c r="R52" i="4"/>
  <c r="T52" i="4"/>
  <c r="U52" i="4"/>
  <c r="V52" i="4"/>
  <c r="W52" i="4"/>
  <c r="Y52" i="4"/>
  <c r="Z52" i="4"/>
  <c r="AA52" i="4"/>
  <c r="AD52" i="4"/>
  <c r="AE52" i="4"/>
  <c r="D53" i="4"/>
  <c r="F53" i="4"/>
  <c r="G53" i="4"/>
  <c r="I53" i="4"/>
  <c r="J53" i="4"/>
  <c r="K53" i="4"/>
  <c r="L53" i="4"/>
  <c r="N53" i="4"/>
  <c r="O53" i="4"/>
  <c r="P53" i="4"/>
  <c r="Q53" i="4"/>
  <c r="R53" i="4"/>
  <c r="T53" i="4"/>
  <c r="U53" i="4"/>
  <c r="V53" i="4"/>
  <c r="W53" i="4"/>
  <c r="Y53" i="4"/>
  <c r="Z53" i="4"/>
  <c r="AA53" i="4"/>
  <c r="AD53" i="4"/>
  <c r="AE53" i="4"/>
  <c r="D54" i="4"/>
  <c r="E54" i="4"/>
  <c r="F54" i="4"/>
  <c r="G54" i="4"/>
  <c r="I54" i="4"/>
  <c r="J54" i="4"/>
  <c r="K54" i="4"/>
  <c r="L54" i="4"/>
  <c r="N54" i="4"/>
  <c r="O54" i="4"/>
  <c r="P54" i="4"/>
  <c r="Q54" i="4"/>
  <c r="R54" i="4"/>
  <c r="T54" i="4"/>
  <c r="U54" i="4"/>
  <c r="V54" i="4"/>
  <c r="W54" i="4"/>
  <c r="Y54" i="4"/>
  <c r="Z54" i="4"/>
  <c r="AA54" i="4"/>
  <c r="AD54" i="4"/>
  <c r="AE54" i="4"/>
  <c r="BY84" i="4"/>
  <c r="BY83" i="4"/>
  <c r="BY82" i="4"/>
  <c r="BY81" i="4"/>
  <c r="BY79" i="4"/>
  <c r="BY78" i="4"/>
  <c r="BY77" i="4"/>
  <c r="BY76" i="4"/>
  <c r="BY74" i="4"/>
  <c r="BY73" i="4"/>
  <c r="BY72" i="4"/>
  <c r="CG86" i="2"/>
  <c r="CH79" i="2"/>
  <c r="CB21" i="5"/>
  <c r="CB20" i="5"/>
  <c r="CB18" i="5"/>
  <c r="CB17" i="5"/>
  <c r="CB12" i="5"/>
  <c r="CB11" i="5"/>
  <c r="CB6" i="5"/>
  <c r="CB5" i="5"/>
  <c r="CB7" i="5" s="1"/>
  <c r="CB9" i="5" s="1"/>
  <c r="CB3" i="5"/>
  <c r="CA28" i="4"/>
  <c r="CA27" i="4"/>
  <c r="CA26" i="4"/>
  <c r="CA25" i="4"/>
  <c r="CA13" i="4"/>
  <c r="CA23" i="4" s="1"/>
  <c r="CA12" i="4"/>
  <c r="CA22" i="4" s="1"/>
  <c r="CA11" i="4"/>
  <c r="CA21" i="4" s="1"/>
  <c r="CA10" i="4"/>
  <c r="CA20" i="4" s="1"/>
  <c r="CA7" i="4"/>
  <c r="CA6" i="4"/>
  <c r="CA5" i="4"/>
  <c r="CA4" i="4"/>
  <c r="CA8" i="4" s="1"/>
  <c r="CA2" i="4"/>
  <c r="CH80" i="2"/>
  <c r="CH53" i="2"/>
  <c r="CH52" i="2"/>
  <c r="CH51" i="2"/>
  <c r="CH50" i="2"/>
  <c r="CH54" i="2" s="1"/>
  <c r="CH43" i="2"/>
  <c r="CH38" i="2"/>
  <c r="CB15" i="5"/>
  <c r="CH27" i="2"/>
  <c r="CH22" i="2"/>
  <c r="CH15" i="2"/>
  <c r="CH9" i="2"/>
  <c r="AK18" i="6"/>
  <c r="AK16" i="6"/>
  <c r="CA21" i="5"/>
  <c r="CA20" i="5"/>
  <c r="CA18" i="5"/>
  <c r="CA17" i="5"/>
  <c r="CA12" i="5"/>
  <c r="CA11" i="5"/>
  <c r="CA6" i="5"/>
  <c r="CA5" i="5"/>
  <c r="CA7" i="5" s="1"/>
  <c r="CA9" i="5" s="1"/>
  <c r="CA3" i="5"/>
  <c r="BZ28" i="4"/>
  <c r="BZ27" i="4"/>
  <c r="BZ26" i="4"/>
  <c r="BZ25" i="4"/>
  <c r="BZ13" i="4"/>
  <c r="BZ23" i="4" s="1"/>
  <c r="BZ12" i="4"/>
  <c r="BZ22" i="4" s="1"/>
  <c r="BZ11" i="4"/>
  <c r="BZ21" i="4" s="1"/>
  <c r="BZ10" i="4"/>
  <c r="BZ20" i="4" s="1"/>
  <c r="BZ7" i="4"/>
  <c r="BZ6" i="4"/>
  <c r="BZ5" i="4"/>
  <c r="BZ4" i="4"/>
  <c r="BZ8" i="4" s="1"/>
  <c r="BZ2" i="4"/>
  <c r="CG79" i="2"/>
  <c r="CG80" i="2"/>
  <c r="CG53" i="2"/>
  <c r="CG52" i="2"/>
  <c r="CG51" i="2"/>
  <c r="CG50" i="2"/>
  <c r="CG54" i="2" s="1"/>
  <c r="CG43" i="2"/>
  <c r="CG38" i="2"/>
  <c r="CA15" i="5"/>
  <c r="CG27" i="2"/>
  <c r="CG22" i="2"/>
  <c r="CG15" i="2"/>
  <c r="CG91" i="2" s="1"/>
  <c r="CL91" i="2" s="1"/>
  <c r="CG9" i="2"/>
  <c r="AK9" i="6"/>
  <c r="AK7" i="6"/>
  <c r="AK49" i="6"/>
  <c r="AK38" i="6"/>
  <c r="AK47" i="6"/>
  <c r="AK36" i="6"/>
  <c r="AK51" i="6"/>
  <c r="AK40" i="6"/>
  <c r="AK45" i="6"/>
  <c r="AK34" i="6"/>
  <c r="AK50" i="6"/>
  <c r="AK39" i="6"/>
  <c r="AK43" i="6"/>
  <c r="AK32" i="6"/>
  <c r="AK46" i="6"/>
  <c r="AK42" i="6"/>
  <c r="AK35" i="6"/>
  <c r="AK29" i="6"/>
  <c r="AK28" i="6"/>
  <c r="AK23" i="6"/>
  <c r="AK22" i="6"/>
  <c r="AK21" i="6"/>
  <c r="BZ21" i="5"/>
  <c r="BZ20" i="5"/>
  <c r="BZ18" i="5"/>
  <c r="BZ17" i="5"/>
  <c r="BZ15" i="5"/>
  <c r="BZ14" i="5"/>
  <c r="BZ12" i="5"/>
  <c r="BZ11" i="5"/>
  <c r="BZ6" i="5"/>
  <c r="BZ5" i="5"/>
  <c r="BZ7" i="5" s="1"/>
  <c r="BZ9" i="5" s="1"/>
  <c r="BZ3" i="5"/>
  <c r="BY43" i="4"/>
  <c r="BY42" i="4"/>
  <c r="BY41" i="4"/>
  <c r="BY40" i="4"/>
  <c r="BY44" i="4" s="1"/>
  <c r="BY28" i="4"/>
  <c r="BY27" i="4"/>
  <c r="BY26" i="4"/>
  <c r="BY25" i="4"/>
  <c r="BY13" i="4"/>
  <c r="BY23" i="4" s="1"/>
  <c r="BY12" i="4"/>
  <c r="BY22" i="4" s="1"/>
  <c r="BY11" i="4"/>
  <c r="BY21" i="4" s="1"/>
  <c r="BY10" i="4"/>
  <c r="BY20" i="4" s="1"/>
  <c r="BY7" i="4"/>
  <c r="BY6" i="4"/>
  <c r="BY5" i="4"/>
  <c r="BY4" i="4"/>
  <c r="BY8" i="4" s="1"/>
  <c r="BY2" i="4"/>
  <c r="CF57" i="2"/>
  <c r="CF56" i="2"/>
  <c r="CF54" i="2"/>
  <c r="CF58" i="2" s="1"/>
  <c r="CF43" i="2"/>
  <c r="CF38" i="2"/>
  <c r="CF27" i="2"/>
  <c r="CF22" i="2"/>
  <c r="CF15" i="2"/>
  <c r="CF9" i="2"/>
  <c r="CF17" i="2" s="1"/>
  <c r="CF18" i="2" s="1"/>
  <c r="CF6" i="2"/>
  <c r="CA56" i="2"/>
  <c r="CA57" i="2"/>
  <c r="BY30" i="5"/>
  <c r="BY29" i="5"/>
  <c r="BY21" i="5"/>
  <c r="BY20" i="5"/>
  <c r="BY18" i="5"/>
  <c r="BY17" i="5"/>
  <c r="BY12" i="5"/>
  <c r="BY11" i="5"/>
  <c r="BY6" i="5"/>
  <c r="BY5" i="5"/>
  <c r="BY7" i="5" s="1"/>
  <c r="BY9" i="5" s="1"/>
  <c r="BY3" i="5"/>
  <c r="BX28" i="4"/>
  <c r="BX27" i="4"/>
  <c r="BX26" i="4"/>
  <c r="BX25" i="4"/>
  <c r="BX13" i="4"/>
  <c r="BX23" i="4" s="1"/>
  <c r="BX12" i="4"/>
  <c r="BX22" i="4" s="1"/>
  <c r="BX11" i="4"/>
  <c r="BX21" i="4" s="1"/>
  <c r="BX10" i="4"/>
  <c r="BX20" i="4" s="1"/>
  <c r="BX7" i="4"/>
  <c r="BX6" i="4"/>
  <c r="BX5" i="4"/>
  <c r="BX4" i="4"/>
  <c r="BX8" i="4" s="1"/>
  <c r="BX2" i="4"/>
  <c r="CE79" i="2"/>
  <c r="CE80" i="2"/>
  <c r="CE53" i="2"/>
  <c r="CE52" i="2"/>
  <c r="CE51" i="2"/>
  <c r="CE50" i="2"/>
  <c r="CE54" i="2" s="1"/>
  <c r="CE43" i="2"/>
  <c r="CE38" i="2"/>
  <c r="BY15" i="5"/>
  <c r="CE27" i="2"/>
  <c r="CE22" i="2"/>
  <c r="CE15" i="2"/>
  <c r="CE9" i="2"/>
  <c r="CD86" i="2"/>
  <c r="BU26" i="9"/>
  <c r="BT26" i="9"/>
  <c r="BS26" i="9"/>
  <c r="BR26" i="9"/>
  <c r="BQ26" i="9"/>
  <c r="BO26" i="9"/>
  <c r="BN26" i="9"/>
  <c r="BM26" i="9"/>
  <c r="BL26" i="9"/>
  <c r="BJ26" i="9"/>
  <c r="BI26" i="9"/>
  <c r="BH26" i="9"/>
  <c r="BG26" i="9"/>
  <c r="BF26" i="9"/>
  <c r="BD26" i="9"/>
  <c r="BC26" i="9"/>
  <c r="BB26" i="9"/>
  <c r="BA26" i="9"/>
  <c r="AZ26" i="9"/>
  <c r="BU25" i="9"/>
  <c r="BT25" i="9"/>
  <c r="BS25" i="9"/>
  <c r="BR25" i="9"/>
  <c r="BQ25" i="9"/>
  <c r="BO25" i="9"/>
  <c r="BN25" i="9"/>
  <c r="BM25" i="9"/>
  <c r="BL25" i="9"/>
  <c r="BJ25" i="9"/>
  <c r="BI25" i="9"/>
  <c r="BH25" i="9"/>
  <c r="BG25" i="9"/>
  <c r="BF25" i="9"/>
  <c r="BD25" i="9"/>
  <c r="BC25" i="9"/>
  <c r="BB25" i="9"/>
  <c r="BA25" i="9"/>
  <c r="AZ25" i="9"/>
  <c r="BX18" i="9"/>
  <c r="BX17" i="9"/>
  <c r="J15" i="9"/>
  <c r="J14" i="9"/>
  <c r="BX12" i="9"/>
  <c r="BW12" i="9"/>
  <c r="BV12" i="9"/>
  <c r="BU12" i="9"/>
  <c r="BT12" i="9"/>
  <c r="BS12" i="9"/>
  <c r="BR12" i="9"/>
  <c r="BQ12" i="9"/>
  <c r="BP12" i="9"/>
  <c r="BO12" i="9"/>
  <c r="BN12" i="9"/>
  <c r="BM12" i="9"/>
  <c r="BL12" i="9"/>
  <c r="BK12" i="9"/>
  <c r="BJ12" i="9"/>
  <c r="BI12" i="9"/>
  <c r="BH12" i="9"/>
  <c r="BG12" i="9"/>
  <c r="BF12" i="9"/>
  <c r="BE12" i="9"/>
  <c r="BD12" i="9"/>
  <c r="BC12" i="9"/>
  <c r="BB12" i="9"/>
  <c r="BA12" i="9"/>
  <c r="AZ12" i="9"/>
  <c r="AY12" i="9"/>
  <c r="AX12" i="9"/>
  <c r="AW12" i="9"/>
  <c r="AV12" i="9"/>
  <c r="AU12" i="9"/>
  <c r="AT12" i="9"/>
  <c r="AS12" i="9"/>
  <c r="AR12" i="9"/>
  <c r="AQ12" i="9"/>
  <c r="AP12" i="9"/>
  <c r="AO12" i="9"/>
  <c r="AN12" i="9"/>
  <c r="AM12" i="9"/>
  <c r="AL12" i="9"/>
  <c r="AK12" i="9"/>
  <c r="AJ12" i="9"/>
  <c r="AI12" i="9"/>
  <c r="AH12" i="9"/>
  <c r="AG12" i="9"/>
  <c r="AF12" i="9"/>
  <c r="AE12" i="9"/>
  <c r="AD12" i="9"/>
  <c r="AC12" i="9"/>
  <c r="AB12" i="9"/>
  <c r="AA12" i="9"/>
  <c r="Z12" i="9"/>
  <c r="Y12" i="9"/>
  <c r="X12" i="9"/>
  <c r="W12" i="9"/>
  <c r="V12" i="9"/>
  <c r="U12" i="9"/>
  <c r="T12" i="9"/>
  <c r="S12" i="9"/>
  <c r="R12" i="9"/>
  <c r="Q12" i="9"/>
  <c r="P12" i="9"/>
  <c r="O12" i="9"/>
  <c r="N12" i="9"/>
  <c r="M12" i="9"/>
  <c r="L12" i="9"/>
  <c r="K12" i="9"/>
  <c r="J12" i="9"/>
  <c r="I12" i="9"/>
  <c r="H12" i="9"/>
  <c r="G12" i="9"/>
  <c r="F12" i="9"/>
  <c r="E12" i="9"/>
  <c r="BX11" i="9"/>
  <c r="BW11" i="9"/>
  <c r="BV11" i="9"/>
  <c r="BU11" i="9"/>
  <c r="BT11" i="9"/>
  <c r="BS11" i="9"/>
  <c r="BR11" i="9"/>
  <c r="BQ11" i="9"/>
  <c r="BP11" i="9"/>
  <c r="BO11" i="9"/>
  <c r="BN11" i="9"/>
  <c r="BM11" i="9"/>
  <c r="BL11" i="9"/>
  <c r="BK11" i="9"/>
  <c r="BJ11" i="9"/>
  <c r="BI11" i="9"/>
  <c r="BH11" i="9"/>
  <c r="BG11" i="9"/>
  <c r="BF11" i="9"/>
  <c r="BE11" i="9"/>
  <c r="BD11" i="9"/>
  <c r="BC11" i="9"/>
  <c r="BB11" i="9"/>
  <c r="BA11" i="9"/>
  <c r="AZ11" i="9"/>
  <c r="AY11" i="9"/>
  <c r="AX11" i="9"/>
  <c r="AW11" i="9"/>
  <c r="AV11" i="9"/>
  <c r="AU11" i="9"/>
  <c r="AT11" i="9"/>
  <c r="AS11" i="9"/>
  <c r="AR11" i="9"/>
  <c r="AQ11" i="9"/>
  <c r="AP11" i="9"/>
  <c r="AO11" i="9"/>
  <c r="AN11" i="9"/>
  <c r="AM11" i="9"/>
  <c r="AL11" i="9"/>
  <c r="AK11" i="9"/>
  <c r="AJ11" i="9"/>
  <c r="AI11" i="9"/>
  <c r="AH11" i="9"/>
  <c r="AG11" i="9"/>
  <c r="AF11" i="9"/>
  <c r="AE11" i="9"/>
  <c r="AD11" i="9"/>
  <c r="AC11" i="9"/>
  <c r="AB11" i="9"/>
  <c r="AA11" i="9"/>
  <c r="Z11" i="9"/>
  <c r="Y11" i="9"/>
  <c r="X11" i="9"/>
  <c r="W11" i="9"/>
  <c r="V11" i="9"/>
  <c r="U11" i="9"/>
  <c r="T11" i="9"/>
  <c r="S11" i="9"/>
  <c r="R11" i="9"/>
  <c r="Q11" i="9"/>
  <c r="P11" i="9"/>
  <c r="O11" i="9"/>
  <c r="N11" i="9"/>
  <c r="M11" i="9"/>
  <c r="L11" i="9"/>
  <c r="K11" i="9"/>
  <c r="J11" i="9"/>
  <c r="G11" i="9"/>
  <c r="F11" i="9"/>
  <c r="E11" i="9"/>
  <c r="BX6" i="9"/>
  <c r="BW6" i="9"/>
  <c r="BV6" i="9"/>
  <c r="BU6" i="9"/>
  <c r="BT6" i="9"/>
  <c r="BS6" i="9"/>
  <c r="BR6" i="9"/>
  <c r="BQ6" i="9"/>
  <c r="BP6" i="9"/>
  <c r="BO6" i="9"/>
  <c r="BN6" i="9"/>
  <c r="BM6" i="9"/>
  <c r="BL6" i="9"/>
  <c r="BK6" i="9"/>
  <c r="BJ6" i="9"/>
  <c r="BI6" i="9"/>
  <c r="BH6" i="9"/>
  <c r="BG6" i="9"/>
  <c r="BF6" i="9"/>
  <c r="BE6" i="9"/>
  <c r="BD6" i="9"/>
  <c r="BC6" i="9"/>
  <c r="BB6" i="9"/>
  <c r="BA6" i="9"/>
  <c r="AZ6" i="9"/>
  <c r="AY6" i="9"/>
  <c r="AX6" i="9"/>
  <c r="AW6" i="9"/>
  <c r="AV6" i="9"/>
  <c r="AU6" i="9"/>
  <c r="AT6" i="9"/>
  <c r="AS6" i="9"/>
  <c r="AR6" i="9"/>
  <c r="AQ6" i="9"/>
  <c r="AP6" i="9"/>
  <c r="AO6" i="9"/>
  <c r="AN6" i="9"/>
  <c r="AM6" i="9"/>
  <c r="AL6" i="9"/>
  <c r="AK6" i="9"/>
  <c r="AJ6" i="9"/>
  <c r="AI6" i="9"/>
  <c r="AH6" i="9"/>
  <c r="AG6" i="9"/>
  <c r="AF6" i="9"/>
  <c r="AE6" i="9"/>
  <c r="AD6" i="9"/>
  <c r="AC6" i="9"/>
  <c r="AB6" i="9"/>
  <c r="AA6" i="9"/>
  <c r="Z6" i="9"/>
  <c r="Y6" i="9"/>
  <c r="X6" i="9"/>
  <c r="W6" i="9"/>
  <c r="V6" i="9"/>
  <c r="U6" i="9"/>
  <c r="T6" i="9"/>
  <c r="S6" i="9"/>
  <c r="R6" i="9"/>
  <c r="Q6" i="9"/>
  <c r="P6" i="9"/>
  <c r="O6" i="9"/>
  <c r="N6" i="9"/>
  <c r="M6" i="9"/>
  <c r="L6" i="9"/>
  <c r="K6" i="9"/>
  <c r="J6" i="9"/>
  <c r="I6" i="9"/>
  <c r="H6" i="9"/>
  <c r="G6" i="9"/>
  <c r="F6" i="9"/>
  <c r="E6" i="9"/>
  <c r="BX5" i="9"/>
  <c r="BX7" i="9" s="1"/>
  <c r="BX9" i="9" s="1"/>
  <c r="BW5" i="9"/>
  <c r="BW7" i="9" s="1"/>
  <c r="BW9" i="9" s="1"/>
  <c r="BV5" i="9"/>
  <c r="BV7" i="9" s="1"/>
  <c r="BV9" i="9" s="1"/>
  <c r="BU5" i="9"/>
  <c r="BU7" i="9" s="1"/>
  <c r="BU9" i="9" s="1"/>
  <c r="BT5" i="9"/>
  <c r="BT7" i="9" s="1"/>
  <c r="BT9" i="9" s="1"/>
  <c r="BS5" i="9"/>
  <c r="BS7" i="9" s="1"/>
  <c r="BS9" i="9" s="1"/>
  <c r="BR5" i="9"/>
  <c r="BR7" i="9" s="1"/>
  <c r="BR9" i="9" s="1"/>
  <c r="BQ5" i="9"/>
  <c r="BQ7" i="9" s="1"/>
  <c r="BQ9" i="9" s="1"/>
  <c r="BP5" i="9"/>
  <c r="BP7" i="9" s="1"/>
  <c r="BP9" i="9" s="1"/>
  <c r="BO5" i="9"/>
  <c r="BO7" i="9" s="1"/>
  <c r="BO9" i="9" s="1"/>
  <c r="BN5" i="9"/>
  <c r="BN7" i="9" s="1"/>
  <c r="BN9" i="9" s="1"/>
  <c r="BM5" i="9"/>
  <c r="BM7" i="9" s="1"/>
  <c r="BM9" i="9" s="1"/>
  <c r="BL5" i="9"/>
  <c r="BL7" i="9" s="1"/>
  <c r="BL9" i="9" s="1"/>
  <c r="BK5" i="9"/>
  <c r="BK7" i="9" s="1"/>
  <c r="BK9" i="9" s="1"/>
  <c r="BJ5" i="9"/>
  <c r="BJ7" i="9" s="1"/>
  <c r="BJ9" i="9" s="1"/>
  <c r="BI5" i="9"/>
  <c r="BI7" i="9" s="1"/>
  <c r="BI9" i="9" s="1"/>
  <c r="BH5" i="9"/>
  <c r="BH7" i="9" s="1"/>
  <c r="BH9" i="9" s="1"/>
  <c r="BG5" i="9"/>
  <c r="BG7" i="9" s="1"/>
  <c r="BG9" i="9" s="1"/>
  <c r="BF5" i="9"/>
  <c r="BF7" i="9" s="1"/>
  <c r="BF9" i="9" s="1"/>
  <c r="BE5" i="9"/>
  <c r="BE7" i="9" s="1"/>
  <c r="BE9" i="9" s="1"/>
  <c r="BD5" i="9"/>
  <c r="BD7" i="9" s="1"/>
  <c r="BD9" i="9" s="1"/>
  <c r="BC5" i="9"/>
  <c r="BC7" i="9" s="1"/>
  <c r="BC9" i="9" s="1"/>
  <c r="BB5" i="9"/>
  <c r="BB7" i="9" s="1"/>
  <c r="BB9" i="9" s="1"/>
  <c r="BA5" i="9"/>
  <c r="BA7" i="9" s="1"/>
  <c r="BA9" i="9" s="1"/>
  <c r="AZ5" i="9"/>
  <c r="AZ7" i="9" s="1"/>
  <c r="AZ9" i="9" s="1"/>
  <c r="AY5" i="9"/>
  <c r="AY7" i="9" s="1"/>
  <c r="AY9" i="9" s="1"/>
  <c r="AX5" i="9"/>
  <c r="AX7" i="9" s="1"/>
  <c r="AX9" i="9" s="1"/>
  <c r="AW5" i="9"/>
  <c r="AW7" i="9" s="1"/>
  <c r="AW9" i="9" s="1"/>
  <c r="AV5" i="9"/>
  <c r="AV7" i="9" s="1"/>
  <c r="AV9" i="9" s="1"/>
  <c r="AU5" i="9"/>
  <c r="AU7" i="9" s="1"/>
  <c r="AU9" i="9" s="1"/>
  <c r="AT5" i="9"/>
  <c r="AT7" i="9" s="1"/>
  <c r="AT9" i="9" s="1"/>
  <c r="AS5" i="9"/>
  <c r="AS7" i="9" s="1"/>
  <c r="AS9" i="9" s="1"/>
  <c r="AR5" i="9"/>
  <c r="AR7" i="9" s="1"/>
  <c r="AR9" i="9" s="1"/>
  <c r="AQ5" i="9"/>
  <c r="AQ7" i="9" s="1"/>
  <c r="AQ9" i="9" s="1"/>
  <c r="AP5" i="9"/>
  <c r="AP7" i="9" s="1"/>
  <c r="AP9" i="9" s="1"/>
  <c r="AO5" i="9"/>
  <c r="AO7" i="9" s="1"/>
  <c r="AO9" i="9" s="1"/>
  <c r="AN5" i="9"/>
  <c r="AN7" i="9" s="1"/>
  <c r="AN9" i="9" s="1"/>
  <c r="AM5" i="9"/>
  <c r="AM7" i="9" s="1"/>
  <c r="AM9" i="9" s="1"/>
  <c r="AL5" i="9"/>
  <c r="AL7" i="9" s="1"/>
  <c r="AL9" i="9" s="1"/>
  <c r="AK5" i="9"/>
  <c r="AK7" i="9" s="1"/>
  <c r="AK9" i="9" s="1"/>
  <c r="AJ5" i="9"/>
  <c r="AJ7" i="9" s="1"/>
  <c r="AJ9" i="9" s="1"/>
  <c r="AI5" i="9"/>
  <c r="AI7" i="9" s="1"/>
  <c r="AI9" i="9" s="1"/>
  <c r="AH5" i="9"/>
  <c r="AH7" i="9" s="1"/>
  <c r="AH9" i="9" s="1"/>
  <c r="AG5" i="9"/>
  <c r="AG7" i="9" s="1"/>
  <c r="AG9" i="9" s="1"/>
  <c r="AF5" i="9"/>
  <c r="AF7" i="9" s="1"/>
  <c r="AF9" i="9" s="1"/>
  <c r="AE5" i="9"/>
  <c r="AE7" i="9" s="1"/>
  <c r="AE9" i="9" s="1"/>
  <c r="AD5" i="9"/>
  <c r="AD7" i="9" s="1"/>
  <c r="AD9" i="9" s="1"/>
  <c r="AC5" i="9"/>
  <c r="AC7" i="9" s="1"/>
  <c r="AC9" i="9" s="1"/>
  <c r="AB5" i="9"/>
  <c r="AB7" i="9" s="1"/>
  <c r="AB9" i="9" s="1"/>
  <c r="AA5" i="9"/>
  <c r="AA7" i="9" s="1"/>
  <c r="AA9" i="9" s="1"/>
  <c r="Z5" i="9"/>
  <c r="Z7" i="9" s="1"/>
  <c r="Z9" i="9" s="1"/>
  <c r="Y5" i="9"/>
  <c r="Y7" i="9" s="1"/>
  <c r="Y9" i="9" s="1"/>
  <c r="X5" i="9"/>
  <c r="X7" i="9" s="1"/>
  <c r="X9" i="9" s="1"/>
  <c r="W5" i="9"/>
  <c r="W7" i="9" s="1"/>
  <c r="W9" i="9" s="1"/>
  <c r="V5" i="9"/>
  <c r="V7" i="9" s="1"/>
  <c r="V9" i="9" s="1"/>
  <c r="U5" i="9"/>
  <c r="U7" i="9" s="1"/>
  <c r="U9" i="9" s="1"/>
  <c r="T5" i="9"/>
  <c r="T7" i="9" s="1"/>
  <c r="T9" i="9" s="1"/>
  <c r="S5" i="9"/>
  <c r="S7" i="9" s="1"/>
  <c r="S9" i="9" s="1"/>
  <c r="R5" i="9"/>
  <c r="R7" i="9" s="1"/>
  <c r="R9" i="9" s="1"/>
  <c r="Q5" i="9"/>
  <c r="Q7" i="9" s="1"/>
  <c r="Q9" i="9" s="1"/>
  <c r="P5" i="9"/>
  <c r="P7" i="9" s="1"/>
  <c r="P9" i="9" s="1"/>
  <c r="O5" i="9"/>
  <c r="O7" i="9" s="1"/>
  <c r="O9" i="9" s="1"/>
  <c r="N5" i="9"/>
  <c r="N7" i="9" s="1"/>
  <c r="N9" i="9" s="1"/>
  <c r="M5" i="9"/>
  <c r="M7" i="9" s="1"/>
  <c r="M9" i="9" s="1"/>
  <c r="L5" i="9"/>
  <c r="L7" i="9" s="1"/>
  <c r="L9" i="9" s="1"/>
  <c r="K5" i="9"/>
  <c r="K7" i="9" s="1"/>
  <c r="K9" i="9" s="1"/>
  <c r="J5" i="9"/>
  <c r="J7" i="9" s="1"/>
  <c r="J9" i="9" s="1"/>
  <c r="I5" i="9"/>
  <c r="I7" i="9" s="1"/>
  <c r="I9" i="9" s="1"/>
  <c r="H5" i="9"/>
  <c r="H7" i="9" s="1"/>
  <c r="H9" i="9" s="1"/>
  <c r="G5" i="9"/>
  <c r="G7" i="9" s="1"/>
  <c r="G9" i="9" s="1"/>
  <c r="F5" i="9"/>
  <c r="F7" i="9" s="1"/>
  <c r="F9" i="9" s="1"/>
  <c r="E5" i="9"/>
  <c r="E7" i="9" s="1"/>
  <c r="E9" i="9" s="1"/>
  <c r="BX3" i="9"/>
  <c r="BW3" i="9"/>
  <c r="BV3" i="9"/>
  <c r="BU3" i="9"/>
  <c r="BT3" i="9"/>
  <c r="BS3" i="9"/>
  <c r="BR3" i="9"/>
  <c r="BQ3" i="9"/>
  <c r="BP3" i="9"/>
  <c r="BO3" i="9"/>
  <c r="BN3" i="9"/>
  <c r="BM3" i="9"/>
  <c r="BL3" i="9"/>
  <c r="BK3" i="9"/>
  <c r="BJ3" i="9"/>
  <c r="BI3" i="9"/>
  <c r="BH3" i="9"/>
  <c r="BG3" i="9"/>
  <c r="BF3" i="9"/>
  <c r="BD3" i="9"/>
  <c r="BC3" i="9"/>
  <c r="BB3" i="9"/>
  <c r="BA3" i="9"/>
  <c r="F3" i="9"/>
  <c r="G3" i="9" s="1"/>
  <c r="H3" i="9" s="1"/>
  <c r="J3" i="9" s="1"/>
  <c r="K3" i="9" s="1"/>
  <c r="L3" i="9" s="1"/>
  <c r="M3" i="9" s="1"/>
  <c r="AF44" i="4"/>
  <c r="AG44" i="4"/>
  <c r="AH44" i="4"/>
  <c r="AJ44" i="4"/>
  <c r="AK44" i="4"/>
  <c r="AL44" i="4"/>
  <c r="AM44" i="4"/>
  <c r="AO44" i="4"/>
  <c r="AP44" i="4"/>
  <c r="AQ44" i="4"/>
  <c r="AR44" i="4"/>
  <c r="AT44" i="4"/>
  <c r="AU44" i="4"/>
  <c r="AV44" i="4"/>
  <c r="AW44" i="4"/>
  <c r="AX44" i="4"/>
  <c r="AZ44" i="4"/>
  <c r="BA44" i="4"/>
  <c r="BB44" i="4"/>
  <c r="BC44" i="4"/>
  <c r="BE44" i="4"/>
  <c r="BF44" i="4"/>
  <c r="BG44" i="4"/>
  <c r="BH44" i="4"/>
  <c r="BI44" i="4"/>
  <c r="BK44" i="4"/>
  <c r="BL44" i="4"/>
  <c r="BM44" i="4"/>
  <c r="BN44" i="4"/>
  <c r="BP44" i="4"/>
  <c r="BQ44" i="4"/>
  <c r="BR44" i="4"/>
  <c r="BS44" i="4"/>
  <c r="BW18" i="4"/>
  <c r="BW28" i="4"/>
  <c r="BW27" i="4"/>
  <c r="BW26" i="4"/>
  <c r="BW25" i="4"/>
  <c r="BW13" i="4"/>
  <c r="BW23" i="4" s="1"/>
  <c r="BW12" i="4"/>
  <c r="BW22" i="4" s="1"/>
  <c r="BW11" i="4"/>
  <c r="BW21" i="4" s="1"/>
  <c r="BW10" i="4"/>
  <c r="BW20" i="4" s="1"/>
  <c r="BW7" i="4"/>
  <c r="BW6" i="4"/>
  <c r="BW5" i="4"/>
  <c r="BW4" i="4"/>
  <c r="BW8" i="4" s="1"/>
  <c r="BW2" i="4"/>
  <c r="CD79" i="2"/>
  <c r="BX30" i="5"/>
  <c r="BX29" i="5"/>
  <c r="BX21" i="5"/>
  <c r="BX20" i="5"/>
  <c r="BX18" i="5"/>
  <c r="BX17" i="5"/>
  <c r="BX12" i="5"/>
  <c r="BX11" i="5"/>
  <c r="BX6" i="5"/>
  <c r="BX5" i="5"/>
  <c r="BX7" i="5" s="1"/>
  <c r="BX9" i="5" s="1"/>
  <c r="BX3" i="5"/>
  <c r="CD80" i="2"/>
  <c r="CD53" i="2"/>
  <c r="CD52" i="2"/>
  <c r="CD51" i="2"/>
  <c r="CD50" i="2"/>
  <c r="CD54" i="2" s="1"/>
  <c r="CD43" i="2"/>
  <c r="CD38" i="2"/>
  <c r="BX15" i="5"/>
  <c r="CD27" i="2"/>
  <c r="CD22" i="2"/>
  <c r="CD15" i="2"/>
  <c r="CD91" i="2" s="1"/>
  <c r="CD9" i="2"/>
  <c r="CD33" i="2" s="1"/>
  <c r="BX14" i="5" s="1"/>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5" i="7"/>
  <c r="BT43" i="4"/>
  <c r="BT42" i="4"/>
  <c r="BT41" i="4"/>
  <c r="BT40" i="4"/>
  <c r="BO43" i="4"/>
  <c r="BO42" i="4"/>
  <c r="BO40" i="4"/>
  <c r="BJ43" i="4"/>
  <c r="BJ42" i="4"/>
  <c r="BJ41" i="4"/>
  <c r="BJ40" i="4"/>
  <c r="BJ44" i="4" s="1"/>
  <c r="BD42" i="4"/>
  <c r="BD40" i="4"/>
  <c r="AY43" i="4"/>
  <c r="AY42" i="4"/>
  <c r="AY41" i="4"/>
  <c r="AY40" i="4"/>
  <c r="AY44" i="4" s="1"/>
  <c r="AS43" i="4"/>
  <c r="AS42" i="4"/>
  <c r="AS40" i="4"/>
  <c r="AN40" i="4"/>
  <c r="AI43" i="4"/>
  <c r="AI40" i="4"/>
  <c r="CB86" i="2"/>
  <c r="BV20" i="5"/>
  <c r="BW20" i="5"/>
  <c r="BV21" i="5"/>
  <c r="BW21" i="5"/>
  <c r="BW18" i="5"/>
  <c r="BW17" i="5"/>
  <c r="BW12" i="5"/>
  <c r="BW11" i="5"/>
  <c r="BW6" i="5"/>
  <c r="BW5" i="5"/>
  <c r="BW7" i="5" s="1"/>
  <c r="BW9" i="5" s="1"/>
  <c r="BW3" i="5"/>
  <c r="BV28" i="4"/>
  <c r="BV27" i="4"/>
  <c r="BV26" i="4"/>
  <c r="BV25" i="4"/>
  <c r="BV13" i="4"/>
  <c r="BV23" i="4" s="1"/>
  <c r="BV12" i="4"/>
  <c r="BV22" i="4" s="1"/>
  <c r="BV11" i="4"/>
  <c r="BV21" i="4" s="1"/>
  <c r="BV10" i="4"/>
  <c r="BV20" i="4" s="1"/>
  <c r="BV7" i="4"/>
  <c r="BV6" i="4"/>
  <c r="BV5" i="4"/>
  <c r="BV4" i="4"/>
  <c r="BV8" i="4" s="1"/>
  <c r="BV2" i="4"/>
  <c r="CC79" i="2"/>
  <c r="CC76" i="2"/>
  <c r="CC80" i="2"/>
  <c r="CC53" i="2"/>
  <c r="CC52" i="2"/>
  <c r="CC51" i="2"/>
  <c r="CC50" i="2"/>
  <c r="CC54" i="2" s="1"/>
  <c r="CC43" i="2"/>
  <c r="CC38" i="2"/>
  <c r="BW15" i="5"/>
  <c r="CC27" i="2"/>
  <c r="CC22" i="2"/>
  <c r="CC15" i="2"/>
  <c r="CC9" i="2"/>
  <c r="BW6" i="2"/>
  <c r="BX6" i="2"/>
  <c r="BY6" i="2"/>
  <c r="BZ6" i="2"/>
  <c r="CA6" i="2"/>
  <c r="BT83" i="4"/>
  <c r="BT84" i="4"/>
  <c r="BT82" i="4"/>
  <c r="BT81" i="4"/>
  <c r="BT71" i="4"/>
  <c r="BT74" i="4"/>
  <c r="BT73" i="4"/>
  <c r="BT72" i="4"/>
  <c r="BT78" i="4"/>
  <c r="BT77" i="4"/>
  <c r="BT79" i="4"/>
  <c r="AJ18" i="6"/>
  <c r="AJ17" i="6"/>
  <c r="AJ16" i="6"/>
  <c r="AJ21" i="6" s="1"/>
  <c r="AJ9" i="6"/>
  <c r="AJ7" i="6"/>
  <c r="AJ46" i="6"/>
  <c r="AJ49" i="6"/>
  <c r="AJ47" i="6"/>
  <c r="AJ51" i="6"/>
  <c r="AJ45" i="6"/>
  <c r="AJ50" i="6"/>
  <c r="AJ43" i="6"/>
  <c r="AJ42" i="6"/>
  <c r="AJ38" i="6"/>
  <c r="AJ36" i="6"/>
  <c r="AJ40" i="6"/>
  <c r="AJ34" i="6"/>
  <c r="AJ39" i="6"/>
  <c r="AJ35" i="6"/>
  <c r="AJ32" i="6"/>
  <c r="AJ31" i="6"/>
  <c r="BV18" i="5"/>
  <c r="BV17" i="5"/>
  <c r="BV12" i="5"/>
  <c r="BV11" i="5"/>
  <c r="BV6" i="5"/>
  <c r="BV5" i="5"/>
  <c r="BV7" i="5" s="1"/>
  <c r="BV9" i="5" s="1"/>
  <c r="BV3" i="5"/>
  <c r="BU28" i="4"/>
  <c r="BU27" i="4"/>
  <c r="BU26" i="4"/>
  <c r="BU25" i="4"/>
  <c r="BU13" i="4"/>
  <c r="BU23" i="4" s="1"/>
  <c r="BU12" i="4"/>
  <c r="BU22" i="4" s="1"/>
  <c r="BU11" i="4"/>
  <c r="BU21" i="4" s="1"/>
  <c r="BU10" i="4"/>
  <c r="BU20" i="4" s="1"/>
  <c r="BU7" i="4"/>
  <c r="BU6" i="4"/>
  <c r="BU5" i="4"/>
  <c r="BU4" i="4"/>
  <c r="BU8" i="4" s="1"/>
  <c r="BU2" i="4"/>
  <c r="CB79" i="2"/>
  <c r="CB78" i="2"/>
  <c r="CB76" i="2"/>
  <c r="CB77" i="2"/>
  <c r="CB80" i="2"/>
  <c r="CB53" i="2"/>
  <c r="CB52" i="2"/>
  <c r="CB51" i="2"/>
  <c r="CB50" i="2"/>
  <c r="CB54" i="2" s="1"/>
  <c r="CB43" i="2"/>
  <c r="CB38" i="2"/>
  <c r="BV15" i="5"/>
  <c r="CB27" i="2"/>
  <c r="CB22" i="2"/>
  <c r="CB15" i="2"/>
  <c r="CB91" i="2" s="1"/>
  <c r="CF91" i="2" s="1"/>
  <c r="CB9" i="2"/>
  <c r="CB33" i="2" s="1"/>
  <c r="BV14" i="5" s="1"/>
  <c r="BU21" i="5"/>
  <c r="BU20" i="5"/>
  <c r="BU18" i="5"/>
  <c r="BU17" i="5"/>
  <c r="BU15" i="5"/>
  <c r="BU14" i="5"/>
  <c r="BU12" i="5"/>
  <c r="BU11" i="5"/>
  <c r="BU6" i="5"/>
  <c r="BU5" i="5"/>
  <c r="BU7" i="5" s="1"/>
  <c r="BU9" i="5" s="1"/>
  <c r="BU3" i="5"/>
  <c r="BT28" i="4"/>
  <c r="BT27" i="4"/>
  <c r="BT26" i="4"/>
  <c r="BT25" i="4"/>
  <c r="BT13" i="4"/>
  <c r="BT23" i="4" s="1"/>
  <c r="BT12" i="4"/>
  <c r="BT22" i="4" s="1"/>
  <c r="BT11" i="4"/>
  <c r="BT21" i="4" s="1"/>
  <c r="BT10" i="4"/>
  <c r="BT20" i="4" s="1"/>
  <c r="BT7" i="4"/>
  <c r="BT6" i="4"/>
  <c r="BT5" i="4"/>
  <c r="BT4" i="4"/>
  <c r="BT8" i="4" s="1"/>
  <c r="BT2" i="4"/>
  <c r="CA54" i="2"/>
  <c r="CA58" i="2" s="1"/>
  <c r="CA43" i="2"/>
  <c r="CA38" i="2"/>
  <c r="CA27" i="2"/>
  <c r="CA22" i="2"/>
  <c r="CA15" i="2"/>
  <c r="CA9" i="2"/>
  <c r="CA17" i="2" s="1"/>
  <c r="CA18" i="2" s="1"/>
  <c r="BT18" i="5"/>
  <c r="BT17" i="5"/>
  <c r="BT12" i="5"/>
  <c r="BT11" i="5"/>
  <c r="BT6" i="5"/>
  <c r="BT5" i="5"/>
  <c r="BT7" i="5" s="1"/>
  <c r="BT9" i="5" s="1"/>
  <c r="BT3" i="5"/>
  <c r="BS28" i="4"/>
  <c r="BS27" i="4"/>
  <c r="BS26" i="4"/>
  <c r="BS25" i="4"/>
  <c r="BS13" i="4"/>
  <c r="BS23" i="4" s="1"/>
  <c r="BS12" i="4"/>
  <c r="BS22" i="4" s="1"/>
  <c r="BS11" i="4"/>
  <c r="BS21" i="4" s="1"/>
  <c r="BS10" i="4"/>
  <c r="BS20" i="4" s="1"/>
  <c r="BS7" i="4"/>
  <c r="BS6" i="4"/>
  <c r="BS5" i="4"/>
  <c r="BS4" i="4"/>
  <c r="BS8" i="4" s="1"/>
  <c r="BS2" i="4"/>
  <c r="BZ77" i="2"/>
  <c r="BZ79" i="2"/>
  <c r="BZ76" i="2"/>
  <c r="BZ80" i="2"/>
  <c r="BZ53" i="2"/>
  <c r="BZ52" i="2"/>
  <c r="BZ51" i="2"/>
  <c r="BZ50" i="2"/>
  <c r="BZ43" i="2"/>
  <c r="BZ38" i="2"/>
  <c r="BT15" i="5"/>
  <c r="BZ27" i="2"/>
  <c r="BZ22" i="2"/>
  <c r="BZ15" i="2"/>
  <c r="BZ9" i="2"/>
  <c r="BY86" i="2"/>
  <c r="BS21" i="5"/>
  <c r="BS20" i="5"/>
  <c r="BS18" i="5"/>
  <c r="BS17" i="5"/>
  <c r="BS12" i="5"/>
  <c r="BS11" i="5"/>
  <c r="BS6" i="5"/>
  <c r="BS5" i="5"/>
  <c r="BS7" i="5" s="1"/>
  <c r="BS9" i="5" s="1"/>
  <c r="BS3" i="5"/>
  <c r="BR28" i="4"/>
  <c r="BR27" i="4"/>
  <c r="BR26" i="4"/>
  <c r="BR25" i="4"/>
  <c r="BR13" i="4"/>
  <c r="BR23" i="4" s="1"/>
  <c r="BR12" i="4"/>
  <c r="BR22" i="4" s="1"/>
  <c r="BR11" i="4"/>
  <c r="BR21" i="4" s="1"/>
  <c r="BR10" i="4"/>
  <c r="BR20" i="4" s="1"/>
  <c r="BR7" i="4"/>
  <c r="BR6" i="4"/>
  <c r="BR5" i="4"/>
  <c r="BR4" i="4"/>
  <c r="BR8" i="4" s="1"/>
  <c r="BR2" i="4"/>
  <c r="BY79" i="2"/>
  <c r="BY76" i="2"/>
  <c r="BY80" i="2"/>
  <c r="BY53" i="2"/>
  <c r="BY52" i="2"/>
  <c r="BY51" i="2"/>
  <c r="BY50" i="2"/>
  <c r="BY43" i="2"/>
  <c r="BY38" i="2"/>
  <c r="BS15" i="5"/>
  <c r="BY27" i="2"/>
  <c r="BY22" i="2"/>
  <c r="BY15" i="2"/>
  <c r="BY91" i="2" s="1"/>
  <c r="BY9" i="2"/>
  <c r="BY33" i="2" s="1"/>
  <c r="BS14" i="5" s="1"/>
  <c r="AJ29" i="6"/>
  <c r="AJ28" i="6"/>
  <c r="AJ23" i="6"/>
  <c r="AJ22" i="6"/>
  <c r="BR21" i="5"/>
  <c r="BR20" i="5"/>
  <c r="BR18" i="5"/>
  <c r="BR17" i="5"/>
  <c r="BR12" i="5"/>
  <c r="BR11" i="5"/>
  <c r="BR6" i="5"/>
  <c r="BR5" i="5"/>
  <c r="BR7" i="5" s="1"/>
  <c r="BR9" i="5" s="1"/>
  <c r="BR3" i="5"/>
  <c r="BQ28" i="4"/>
  <c r="BQ27" i="4"/>
  <c r="BQ26" i="4"/>
  <c r="BQ25" i="4"/>
  <c r="BQ13" i="4"/>
  <c r="BQ23" i="4" s="1"/>
  <c r="BQ12" i="4"/>
  <c r="BQ22" i="4" s="1"/>
  <c r="BQ11" i="4"/>
  <c r="BQ21" i="4" s="1"/>
  <c r="BQ10" i="4"/>
  <c r="BQ20" i="4" s="1"/>
  <c r="BQ7" i="4"/>
  <c r="BQ6" i="4"/>
  <c r="BQ5" i="4"/>
  <c r="BQ4" i="4"/>
  <c r="BQ8" i="4" s="1"/>
  <c r="BQ2" i="4"/>
  <c r="BX79" i="2"/>
  <c r="BX78" i="2"/>
  <c r="BX77" i="2"/>
  <c r="BX76" i="2"/>
  <c r="BX80" i="2"/>
  <c r="BX50" i="2"/>
  <c r="BX51" i="2"/>
  <c r="BX52" i="2"/>
  <c r="BX53" i="2"/>
  <c r="BX54" i="2"/>
  <c r="BR15" i="5"/>
  <c r="BX43" i="2"/>
  <c r="BX38" i="2"/>
  <c r="BX27" i="2"/>
  <c r="BX22" i="2"/>
  <c r="BX15" i="2"/>
  <c r="BX9" i="2"/>
  <c r="BW86" i="2"/>
  <c r="BO79" i="4"/>
  <c r="BO78" i="4"/>
  <c r="BO71" i="4"/>
  <c r="BO73" i="4"/>
  <c r="BO74" i="4"/>
  <c r="CK33" i="2" l="1"/>
  <c r="CK17" i="2"/>
  <c r="CK18" i="2" s="1"/>
  <c r="BX17" i="2"/>
  <c r="BX33" i="2"/>
  <c r="BR14" i="5" s="1"/>
  <c r="BZ17" i="2"/>
  <c r="BZ18" i="2" s="1"/>
  <c r="BZ33" i="2"/>
  <c r="BT14" i="5" s="1"/>
  <c r="CC17" i="2"/>
  <c r="CC18" i="2" s="1"/>
  <c r="CC33" i="2"/>
  <c r="BW14" i="5" s="1"/>
  <c r="CE17" i="2"/>
  <c r="CE18" i="2" s="1"/>
  <c r="CE33" i="2"/>
  <c r="BY14" i="5" s="1"/>
  <c r="CG90" i="2"/>
  <c r="CL90" i="2" s="1"/>
  <c r="CG33" i="2"/>
  <c r="CA14" i="5" s="1"/>
  <c r="CH17" i="2"/>
  <c r="CH18" i="2" s="1"/>
  <c r="CH33" i="2"/>
  <c r="CB14" i="5" s="1"/>
  <c r="CI17" i="2"/>
  <c r="CI18" i="2" s="1"/>
  <c r="CI33" i="2"/>
  <c r="CC14" i="5" s="1"/>
  <c r="CJ17" i="2"/>
  <c r="CJ18" i="2" s="1"/>
  <c r="CJ33" i="2"/>
  <c r="CD14" i="5" s="1"/>
  <c r="BP27" i="5"/>
  <c r="BP25" i="5"/>
  <c r="BU27" i="5"/>
  <c r="BU25" i="5"/>
  <c r="BZ27" i="5"/>
  <c r="BZ25" i="5"/>
  <c r="CG17" i="2"/>
  <c r="CG18" i="2" s="1"/>
  <c r="BQ74" i="4"/>
  <c r="BQ79" i="4"/>
  <c r="BQ73" i="4"/>
  <c r="BQ78" i="4"/>
  <c r="BQ72" i="4"/>
  <c r="BQ77" i="4"/>
  <c r="BQ71" i="4"/>
  <c r="BQ76" i="4"/>
  <c r="BR72" i="4"/>
  <c r="BR77" i="4"/>
  <c r="BR73" i="4"/>
  <c r="BR78" i="4"/>
  <c r="BR74" i="4"/>
  <c r="BR79" i="4"/>
  <c r="BS72" i="4"/>
  <c r="BS77" i="4"/>
  <c r="BS73" i="4"/>
  <c r="BS78" i="4"/>
  <c r="BS74" i="4"/>
  <c r="BS79" i="4"/>
  <c r="CB17" i="2"/>
  <c r="CB18" i="2" s="1"/>
  <c r="CB90" i="2"/>
  <c r="BT44" i="4"/>
  <c r="CD17" i="2"/>
  <c r="CD18" i="2" s="1"/>
  <c r="CD90" i="2"/>
  <c r="BZ54" i="2"/>
  <c r="BS71" i="4"/>
  <c r="BS76" i="4"/>
  <c r="BY54" i="2"/>
  <c r="BR71" i="4"/>
  <c r="BR76" i="4"/>
  <c r="BY17" i="2"/>
  <c r="BY18" i="2" s="1"/>
  <c r="BY90" i="2"/>
  <c r="BX18" i="2"/>
  <c r="AE28" i="6"/>
  <c r="AF28" i="6"/>
  <c r="AG28" i="6"/>
  <c r="AH28" i="6"/>
  <c r="AI28" i="6"/>
  <c r="AE29" i="6"/>
  <c r="AF29" i="6"/>
  <c r="AG29" i="6"/>
  <c r="AH29" i="6"/>
  <c r="AI29" i="6"/>
  <c r="AG13" i="6"/>
  <c r="AG12" i="6"/>
  <c r="AG11" i="6"/>
  <c r="AH11" i="6"/>
  <c r="AH12" i="6"/>
  <c r="AH13" i="6"/>
  <c r="AI11" i="6"/>
  <c r="AI12" i="6"/>
  <c r="AI13" i="6"/>
  <c r="AI14" i="6"/>
  <c r="CF90" i="2" l="1"/>
  <c r="AH14" i="6"/>
  <c r="AG14" i="6"/>
  <c r="BQ21" i="5"/>
  <c r="BQ20" i="5"/>
  <c r="BQ18" i="5"/>
  <c r="BQ17" i="5"/>
  <c r="BQ12" i="5"/>
  <c r="BQ11" i="5"/>
  <c r="BQ6" i="5"/>
  <c r="BQ5" i="5"/>
  <c r="BQ7" i="5" s="1"/>
  <c r="BQ9" i="5" s="1"/>
  <c r="BQ3" i="5"/>
  <c r="BP28" i="4"/>
  <c r="BP27" i="4"/>
  <c r="BP26" i="4"/>
  <c r="BP25" i="4"/>
  <c r="BP13" i="4"/>
  <c r="BP23" i="4" s="1"/>
  <c r="BP12" i="4"/>
  <c r="BP22" i="4" s="1"/>
  <c r="BP11" i="4"/>
  <c r="BP21" i="4" s="1"/>
  <c r="BP10" i="4"/>
  <c r="BP20" i="4" s="1"/>
  <c r="BP7" i="4"/>
  <c r="BP6" i="4"/>
  <c r="BP5" i="4"/>
  <c r="BP4" i="4"/>
  <c r="BP8" i="4" s="1"/>
  <c r="BP2" i="4"/>
  <c r="BW79" i="2"/>
  <c r="BW77" i="2"/>
  <c r="BW76" i="2"/>
  <c r="BW80" i="2"/>
  <c r="BW53" i="2"/>
  <c r="BW52" i="2"/>
  <c r="BW51" i="2"/>
  <c r="BW50" i="2"/>
  <c r="BW43" i="2"/>
  <c r="BW38" i="2"/>
  <c r="BQ15" i="5"/>
  <c r="BW27" i="2"/>
  <c r="BW22" i="2"/>
  <c r="BW15" i="2"/>
  <c r="BW91" i="2" s="1"/>
  <c r="CA91" i="2" s="1"/>
  <c r="BW9" i="2"/>
  <c r="BW33" i="2" s="1"/>
  <c r="BQ14" i="5" s="1"/>
  <c r="BV51" i="2"/>
  <c r="BO41" i="4" s="1"/>
  <c r="BO44" i="4" s="1"/>
  <c r="BP21" i="5"/>
  <c r="BP20" i="5"/>
  <c r="BP18" i="5"/>
  <c r="BP17" i="5"/>
  <c r="BP15" i="5"/>
  <c r="BP14" i="5"/>
  <c r="BP12" i="5"/>
  <c r="BP11" i="5"/>
  <c r="BP6" i="5"/>
  <c r="BP5" i="5"/>
  <c r="BP7" i="5" s="1"/>
  <c r="BP9" i="5" s="1"/>
  <c r="BP3" i="5"/>
  <c r="BO28" i="4"/>
  <c r="BO27" i="4"/>
  <c r="BO26" i="4"/>
  <c r="BO25" i="4"/>
  <c r="BO13" i="4"/>
  <c r="BO23" i="4" s="1"/>
  <c r="BO12" i="4"/>
  <c r="BO22" i="4" s="1"/>
  <c r="BO11" i="4"/>
  <c r="BO21" i="4" s="1"/>
  <c r="BO10" i="4"/>
  <c r="BO20" i="4" s="1"/>
  <c r="BO7" i="4"/>
  <c r="BO6" i="4"/>
  <c r="BO5" i="4"/>
  <c r="BO4" i="4"/>
  <c r="BO8" i="4" s="1"/>
  <c r="BO2" i="4"/>
  <c r="AG18" i="6"/>
  <c r="AG23" i="6" s="1"/>
  <c r="AG17" i="6"/>
  <c r="AG22" i="6" s="1"/>
  <c r="AG16" i="6"/>
  <c r="AG21" i="6" s="1"/>
  <c r="AI9" i="6"/>
  <c r="AI7" i="6"/>
  <c r="AI6" i="6"/>
  <c r="AI49" i="6"/>
  <c r="AI38" i="6"/>
  <c r="AI47" i="6"/>
  <c r="AI36" i="6"/>
  <c r="AI51" i="6"/>
  <c r="AI40" i="6"/>
  <c r="AI45" i="6"/>
  <c r="AI34" i="6"/>
  <c r="AI50" i="6"/>
  <c r="AI39" i="6"/>
  <c r="AI43" i="6"/>
  <c r="AI46" i="6"/>
  <c r="AI35" i="6"/>
  <c r="AI42" i="6"/>
  <c r="AI31" i="6"/>
  <c r="AI32" i="6"/>
  <c r="BO21" i="5"/>
  <c r="BO20" i="5"/>
  <c r="BO18" i="5"/>
  <c r="BO17" i="5"/>
  <c r="BO12" i="5"/>
  <c r="BO11" i="5"/>
  <c r="BO6" i="5"/>
  <c r="BO5" i="5"/>
  <c r="BO7" i="5" s="1"/>
  <c r="BO9" i="5" s="1"/>
  <c r="BO3" i="5"/>
  <c r="BN28" i="4"/>
  <c r="BN27" i="4"/>
  <c r="BN26" i="4"/>
  <c r="BN25" i="4"/>
  <c r="BN13" i="4"/>
  <c r="BN23" i="4" s="1"/>
  <c r="BN12" i="4"/>
  <c r="BN22" i="4" s="1"/>
  <c r="BN11" i="4"/>
  <c r="BN21" i="4" s="1"/>
  <c r="BN10" i="4"/>
  <c r="BN20" i="4" s="1"/>
  <c r="BN7" i="4"/>
  <c r="BN6" i="4"/>
  <c r="BN5" i="4"/>
  <c r="BN4" i="4"/>
  <c r="BN8" i="4" s="1"/>
  <c r="BN2" i="4"/>
  <c r="BU79" i="2"/>
  <c r="BU77" i="2"/>
  <c r="BU76" i="2"/>
  <c r="BV22" i="2"/>
  <c r="J22" i="2"/>
  <c r="BV57" i="2"/>
  <c r="BV56" i="2"/>
  <c r="BV54" i="2"/>
  <c r="BV58" i="2" s="1"/>
  <c r="BV43" i="2"/>
  <c r="BV38" i="2"/>
  <c r="BV27" i="2"/>
  <c r="BV15" i="2"/>
  <c r="BV9" i="2"/>
  <c r="BV17" i="2" s="1"/>
  <c r="BV18" i="2" s="1"/>
  <c r="BV6" i="2"/>
  <c r="AK19" i="6" s="1"/>
  <c r="AK24" i="6" s="1"/>
  <c r="BU80" i="2"/>
  <c r="BU53" i="2"/>
  <c r="BU52" i="2"/>
  <c r="BU51" i="2"/>
  <c r="BU50" i="2"/>
  <c r="BU54" i="2" s="1"/>
  <c r="BU43" i="2"/>
  <c r="BU38" i="2"/>
  <c r="BO15" i="5"/>
  <c r="BU27" i="2"/>
  <c r="BU22" i="2"/>
  <c r="BU15" i="2"/>
  <c r="BU9" i="2"/>
  <c r="BT86" i="2"/>
  <c r="BN20" i="5"/>
  <c r="BN21" i="5"/>
  <c r="BN18" i="5"/>
  <c r="BN17" i="5"/>
  <c r="BN12" i="5"/>
  <c r="BN11" i="5"/>
  <c r="BN6" i="5"/>
  <c r="BN5" i="5"/>
  <c r="BN7" i="5" s="1"/>
  <c r="BN9" i="5" s="1"/>
  <c r="BN3" i="5"/>
  <c r="BT79" i="2"/>
  <c r="BT76" i="2"/>
  <c r="BT80" i="2"/>
  <c r="BT53" i="2"/>
  <c r="BT52" i="2"/>
  <c r="BT51" i="2"/>
  <c r="BT50" i="2"/>
  <c r="BT54" i="2" s="1"/>
  <c r="BT43" i="2"/>
  <c r="BT38" i="2"/>
  <c r="BN15" i="5"/>
  <c r="BT27" i="2"/>
  <c r="BT22" i="2"/>
  <c r="BT15" i="2"/>
  <c r="BT91" i="2" s="1"/>
  <c r="BT9" i="2"/>
  <c r="BT33" i="2" s="1"/>
  <c r="BN14" i="5" s="1"/>
  <c r="BM28" i="4"/>
  <c r="BM27" i="4"/>
  <c r="BM26" i="4"/>
  <c r="BM25" i="4"/>
  <c r="BM13" i="4"/>
  <c r="BM23" i="4" s="1"/>
  <c r="BM12" i="4"/>
  <c r="BM22" i="4" s="1"/>
  <c r="BM11" i="4"/>
  <c r="BM21" i="4" s="1"/>
  <c r="BM10" i="4"/>
  <c r="BM20" i="4" s="1"/>
  <c r="BM7" i="4"/>
  <c r="BM6" i="4"/>
  <c r="BM5" i="4"/>
  <c r="BM4" i="4"/>
  <c r="BM8" i="4" s="1"/>
  <c r="BM2" i="4"/>
  <c r="BM21" i="5"/>
  <c r="BM20" i="5"/>
  <c r="BM18" i="5"/>
  <c r="BM17" i="5"/>
  <c r="BM12" i="5"/>
  <c r="BM11" i="5"/>
  <c r="BM6" i="5"/>
  <c r="BM5" i="5"/>
  <c r="BM7" i="5" s="1"/>
  <c r="BM9" i="5" s="1"/>
  <c r="BM3" i="5"/>
  <c r="BL28" i="4"/>
  <c r="BL27" i="4"/>
  <c r="BL26" i="4"/>
  <c r="BL25" i="4"/>
  <c r="BL13" i="4"/>
  <c r="BL23" i="4" s="1"/>
  <c r="BL12" i="4"/>
  <c r="BL22" i="4" s="1"/>
  <c r="BL11" i="4"/>
  <c r="BL21" i="4" s="1"/>
  <c r="BL10" i="4"/>
  <c r="BL20" i="4" s="1"/>
  <c r="BL7" i="4"/>
  <c r="BL6" i="4"/>
  <c r="BL5" i="4"/>
  <c r="BL4" i="4"/>
  <c r="BL8" i="4" s="1"/>
  <c r="BL2" i="4"/>
  <c r="BS53" i="2"/>
  <c r="BS52" i="2"/>
  <c r="BS51" i="2"/>
  <c r="BS50" i="2"/>
  <c r="BS79" i="2"/>
  <c r="BS76" i="2"/>
  <c r="BS80" i="2" s="1"/>
  <c r="BS54" i="2"/>
  <c r="BS43" i="2"/>
  <c r="BS27" i="2"/>
  <c r="BS15" i="2"/>
  <c r="BS38" i="2"/>
  <c r="BM15" i="5"/>
  <c r="BS22" i="2"/>
  <c r="BS9" i="2"/>
  <c r="BS33" i="2" s="1"/>
  <c r="BM14" i="5" s="1"/>
  <c r="BS17" i="2"/>
  <c r="BS18" i="2" s="1"/>
  <c r="BR86" i="2"/>
  <c r="BL21" i="5"/>
  <c r="BL20" i="5"/>
  <c r="BL18" i="5"/>
  <c r="BL17" i="5"/>
  <c r="BL12" i="5"/>
  <c r="BL11" i="5"/>
  <c r="BL6" i="5"/>
  <c r="BL5" i="5"/>
  <c r="BL7" i="5" s="1"/>
  <c r="BL9" i="5" s="1"/>
  <c r="BL3" i="5"/>
  <c r="BK28" i="4"/>
  <c r="BK27" i="4"/>
  <c r="BK26" i="4"/>
  <c r="BK25" i="4"/>
  <c r="BK13" i="4"/>
  <c r="BK23" i="4" s="1"/>
  <c r="BK12" i="4"/>
  <c r="BK22" i="4" s="1"/>
  <c r="BK11" i="4"/>
  <c r="BK21" i="4" s="1"/>
  <c r="BK10" i="4"/>
  <c r="BK20" i="4" s="1"/>
  <c r="BK7" i="4"/>
  <c r="BK6" i="4"/>
  <c r="BK5" i="4"/>
  <c r="BK4" i="4"/>
  <c r="BK8" i="4" s="1"/>
  <c r="BK2" i="4"/>
  <c r="BR79" i="2"/>
  <c r="BR78" i="2"/>
  <c r="BR76" i="2"/>
  <c r="BR80" i="2"/>
  <c r="BR53" i="2"/>
  <c r="BR52" i="2"/>
  <c r="BR51" i="2"/>
  <c r="BR50" i="2"/>
  <c r="BR54" i="2" s="1"/>
  <c r="BR43" i="2"/>
  <c r="BR38" i="2"/>
  <c r="BL15" i="5"/>
  <c r="BR27" i="2"/>
  <c r="BR22" i="2"/>
  <c r="BR15" i="2"/>
  <c r="BR91" i="2" s="1"/>
  <c r="BV91" i="2" s="1"/>
  <c r="BR9" i="2"/>
  <c r="BR33" i="2" s="1"/>
  <c r="BL14" i="5" s="1"/>
  <c r="BO86" i="2"/>
  <c r="AH9" i="6"/>
  <c r="AH7" i="6"/>
  <c r="AH6" i="6"/>
  <c r="AG9" i="6"/>
  <c r="AG7" i="6"/>
  <c r="AG6" i="6"/>
  <c r="AH42" i="6"/>
  <c r="AH46" i="6"/>
  <c r="AH43" i="6"/>
  <c r="AH50" i="6"/>
  <c r="AH45" i="6"/>
  <c r="AH51" i="6"/>
  <c r="AH47" i="6"/>
  <c r="AH49" i="6"/>
  <c r="AH38" i="6"/>
  <c r="AH36" i="6"/>
  <c r="AH40" i="6"/>
  <c r="AH34" i="6"/>
  <c r="AH39" i="6"/>
  <c r="AH32" i="6"/>
  <c r="AH35" i="6"/>
  <c r="AH31" i="6"/>
  <c r="BJ21" i="5"/>
  <c r="BJ20" i="5"/>
  <c r="BJ18" i="5"/>
  <c r="BJ17" i="5"/>
  <c r="BJ12" i="5"/>
  <c r="BJ11" i="5"/>
  <c r="BJ6" i="5"/>
  <c r="BJ5" i="5"/>
  <c r="BJ7" i="5" s="1"/>
  <c r="BJ9" i="5" s="1"/>
  <c r="BJ3" i="5"/>
  <c r="BI28" i="4"/>
  <c r="BI27" i="4"/>
  <c r="BI26" i="4"/>
  <c r="BI25" i="4"/>
  <c r="BI13" i="4"/>
  <c r="BI23" i="4" s="1"/>
  <c r="BI12" i="4"/>
  <c r="BI22" i="4" s="1"/>
  <c r="BI11" i="4"/>
  <c r="BI21" i="4" s="1"/>
  <c r="BI10" i="4"/>
  <c r="BI20" i="4" s="1"/>
  <c r="BI7" i="4"/>
  <c r="BI6" i="4"/>
  <c r="BI5" i="4"/>
  <c r="BI4" i="4"/>
  <c r="BI8" i="4" s="1"/>
  <c r="BI2" i="4"/>
  <c r="BJ2" i="4"/>
  <c r="BJ4" i="4"/>
  <c r="BJ5" i="4"/>
  <c r="BJ6" i="4"/>
  <c r="BJ7" i="4"/>
  <c r="BJ8" i="4"/>
  <c r="BJ10" i="4"/>
  <c r="BJ11" i="4"/>
  <c r="BJ12" i="4"/>
  <c r="BJ13" i="4"/>
  <c r="BJ18" i="4"/>
  <c r="BJ20" i="4"/>
  <c r="BJ21" i="4"/>
  <c r="BJ22" i="4"/>
  <c r="BJ23" i="4"/>
  <c r="BJ25" i="4"/>
  <c r="BJ26" i="4"/>
  <c r="BJ27" i="4"/>
  <c r="BJ28" i="4"/>
  <c r="BP79" i="2"/>
  <c r="BP77" i="2"/>
  <c r="BP76" i="2"/>
  <c r="BP80" i="2"/>
  <c r="BP53" i="2"/>
  <c r="BP52" i="2"/>
  <c r="BP51" i="2"/>
  <c r="BP50" i="2"/>
  <c r="BP54" i="2" s="1"/>
  <c r="BP43" i="2"/>
  <c r="BP38" i="2"/>
  <c r="BJ15" i="5"/>
  <c r="BP27" i="2"/>
  <c r="BP22" i="2"/>
  <c r="BP15" i="2"/>
  <c r="BP9" i="2"/>
  <c r="AE57" i="2"/>
  <c r="AE56" i="2"/>
  <c r="AU57" i="2"/>
  <c r="AU56" i="2"/>
  <c r="BQ57" i="2"/>
  <c r="BQ56" i="2"/>
  <c r="BK15" i="5"/>
  <c r="BK14" i="5"/>
  <c r="BK3" i="5"/>
  <c r="BK21" i="5"/>
  <c r="BK20" i="5"/>
  <c r="BK18" i="5"/>
  <c r="BK17" i="5"/>
  <c r="BK12" i="5"/>
  <c r="BK11" i="5"/>
  <c r="BK6" i="5"/>
  <c r="BK5" i="5"/>
  <c r="BK7" i="5" s="1"/>
  <c r="BK9" i="5" s="1"/>
  <c r="BQ43" i="2"/>
  <c r="BQ54" i="2"/>
  <c r="BQ38" i="2"/>
  <c r="BQ27" i="2"/>
  <c r="BQ22" i="2"/>
  <c r="BQ15" i="2"/>
  <c r="BQ9" i="2"/>
  <c r="BQ17" i="2"/>
  <c r="BQ18" i="2" s="1"/>
  <c r="BI21" i="5"/>
  <c r="BI20" i="5"/>
  <c r="BI18" i="5"/>
  <c r="BI17" i="5"/>
  <c r="BI12" i="5"/>
  <c r="BI11" i="5"/>
  <c r="BI6" i="5"/>
  <c r="BI5" i="5"/>
  <c r="BI7" i="5" s="1"/>
  <c r="BI9" i="5" s="1"/>
  <c r="BI3" i="5"/>
  <c r="BH28" i="4"/>
  <c r="BH27" i="4"/>
  <c r="BH26" i="4"/>
  <c r="BH25" i="4"/>
  <c r="BH13" i="4"/>
  <c r="BH23" i="4" s="1"/>
  <c r="BH12" i="4"/>
  <c r="BH22" i="4" s="1"/>
  <c r="BH11" i="4"/>
  <c r="BH21" i="4" s="1"/>
  <c r="BH10" i="4"/>
  <c r="BH20" i="4" s="1"/>
  <c r="BH7" i="4"/>
  <c r="BH6" i="4"/>
  <c r="BH5" i="4"/>
  <c r="BH4" i="4"/>
  <c r="BH8" i="4" s="1"/>
  <c r="BH2" i="4"/>
  <c r="BO76" i="2"/>
  <c r="BO80" i="2"/>
  <c r="BO9" i="2"/>
  <c r="BO15" i="2"/>
  <c r="BO91" i="2" s="1"/>
  <c r="BO17" i="2"/>
  <c r="BO18" i="2"/>
  <c r="BO22" i="2"/>
  <c r="BO27" i="2"/>
  <c r="BI15" i="5"/>
  <c r="BO38" i="2"/>
  <c r="BO43" i="2"/>
  <c r="BO53" i="2"/>
  <c r="BO52" i="2"/>
  <c r="BO51" i="2"/>
  <c r="BO50" i="2"/>
  <c r="BO54" i="2" s="1"/>
  <c r="BQ6" i="2"/>
  <c r="AJ19" i="6" s="1"/>
  <c r="AJ24" i="6" s="1"/>
  <c r="BH21" i="5"/>
  <c r="BH20" i="5"/>
  <c r="BH18" i="5"/>
  <c r="BH17" i="5"/>
  <c r="BH12" i="5"/>
  <c r="BH11" i="5"/>
  <c r="BH6" i="5"/>
  <c r="BH5" i="5"/>
  <c r="BH7" i="5" s="1"/>
  <c r="BH9" i="5" s="1"/>
  <c r="BH3" i="5"/>
  <c r="BG28" i="4"/>
  <c r="BG27" i="4"/>
  <c r="BG26" i="4"/>
  <c r="BG25" i="4"/>
  <c r="BG13" i="4"/>
  <c r="BG23" i="4" s="1"/>
  <c r="BG12" i="4"/>
  <c r="BG22" i="4" s="1"/>
  <c r="BG11" i="4"/>
  <c r="BG21" i="4" s="1"/>
  <c r="BG10" i="4"/>
  <c r="BG20" i="4" s="1"/>
  <c r="BG7" i="4"/>
  <c r="BG6" i="4"/>
  <c r="BG5" i="4"/>
  <c r="BG4" i="4"/>
  <c r="BG8" i="4" s="1"/>
  <c r="BG2" i="4"/>
  <c r="BN79" i="2"/>
  <c r="BN76" i="2"/>
  <c r="BM9" i="2"/>
  <c r="BM15" i="2"/>
  <c r="BM91" i="2" s="1"/>
  <c r="BQ91" i="2" s="1"/>
  <c r="BM17" i="2"/>
  <c r="BM18" i="2"/>
  <c r="BM22" i="2"/>
  <c r="BM27" i="2"/>
  <c r="BM38" i="2"/>
  <c r="BM43" i="2"/>
  <c r="BN80" i="2"/>
  <c r="BN53" i="2"/>
  <c r="BN52" i="2"/>
  <c r="BN51" i="2"/>
  <c r="BN50" i="2"/>
  <c r="BN54" i="2" s="1"/>
  <c r="BN43" i="2"/>
  <c r="BN38" i="2"/>
  <c r="BH15" i="5"/>
  <c r="BN27" i="2"/>
  <c r="BN22" i="2"/>
  <c r="BN15" i="2"/>
  <c r="BN9" i="2"/>
  <c r="BM86" i="2"/>
  <c r="AG49" i="6"/>
  <c r="AG47" i="6"/>
  <c r="AG51" i="6"/>
  <c r="AG45" i="6"/>
  <c r="AG50" i="6"/>
  <c r="AG43" i="6"/>
  <c r="AG46" i="6"/>
  <c r="AG42" i="6"/>
  <c r="AG38" i="6"/>
  <c r="AG36" i="6"/>
  <c r="AG40" i="6"/>
  <c r="AG34" i="6"/>
  <c r="AG39" i="6"/>
  <c r="AG32" i="6"/>
  <c r="AG35" i="6"/>
  <c r="AG31" i="6"/>
  <c r="AY84" i="4"/>
  <c r="BG21" i="5"/>
  <c r="BG20" i="5"/>
  <c r="BG18" i="5"/>
  <c r="BG17" i="5"/>
  <c r="BG12" i="5"/>
  <c r="BG11" i="5"/>
  <c r="BG6" i="5"/>
  <c r="BG5" i="5"/>
  <c r="BG7" i="5" s="1"/>
  <c r="BG9" i="5" s="1"/>
  <c r="BG3" i="5"/>
  <c r="BF28" i="4"/>
  <c r="BF27" i="4"/>
  <c r="BF26" i="4"/>
  <c r="BF25" i="4"/>
  <c r="BF13" i="4"/>
  <c r="BF23" i="4" s="1"/>
  <c r="BF12" i="4"/>
  <c r="BF22" i="4" s="1"/>
  <c r="BF11" i="4"/>
  <c r="BF21" i="4" s="1"/>
  <c r="BF10" i="4"/>
  <c r="BF20" i="4" s="1"/>
  <c r="BF7" i="4"/>
  <c r="BF6" i="4"/>
  <c r="BF5" i="4"/>
  <c r="BF4" i="4"/>
  <c r="BF8" i="4" s="1"/>
  <c r="BF2" i="4"/>
  <c r="BK57" i="2"/>
  <c r="BK56" i="2"/>
  <c r="BM79" i="2"/>
  <c r="BM78" i="2"/>
  <c r="BM77" i="2"/>
  <c r="BM76" i="2"/>
  <c r="BM80" i="2"/>
  <c r="BM53" i="2"/>
  <c r="BM52" i="2"/>
  <c r="BM51" i="2"/>
  <c r="BM50" i="2"/>
  <c r="BM54" i="2" s="1"/>
  <c r="BG15" i="5"/>
  <c r="BK6" i="2"/>
  <c r="BK9" i="2"/>
  <c r="BK11" i="2"/>
  <c r="BK13" i="2"/>
  <c r="BK15" i="2"/>
  <c r="BK17" i="2"/>
  <c r="BK18" i="2"/>
  <c r="BK22" i="2"/>
  <c r="BK24" i="2"/>
  <c r="BK26" i="2"/>
  <c r="BK27" i="2"/>
  <c r="BK38" i="2"/>
  <c r="BK40" i="2"/>
  <c r="BK42" i="2"/>
  <c r="BK43" i="2"/>
  <c r="BK46" i="2"/>
  <c r="BK48" i="2"/>
  <c r="BK51" i="2"/>
  <c r="BD41" i="4" s="1"/>
  <c r="BK53" i="2"/>
  <c r="BD43" i="4" s="1"/>
  <c r="BK54" i="2"/>
  <c r="BK58" i="2" s="1"/>
  <c r="BE89" i="4"/>
  <c r="BE28" i="4"/>
  <c r="BE27" i="4"/>
  <c r="BE26" i="4"/>
  <c r="BE25" i="4"/>
  <c r="BF5" i="5"/>
  <c r="BF6" i="5"/>
  <c r="BF7" i="5"/>
  <c r="BF9" i="5"/>
  <c r="BF11" i="5"/>
  <c r="BF12" i="5"/>
  <c r="BF17" i="5"/>
  <c r="BF18" i="5"/>
  <c r="BF20" i="5"/>
  <c r="BF21" i="5"/>
  <c r="BF3" i="5"/>
  <c r="BE4" i="4"/>
  <c r="BE5" i="4"/>
  <c r="BE6" i="4"/>
  <c r="BE7" i="4"/>
  <c r="BE8" i="4"/>
  <c r="BE10" i="4"/>
  <c r="BE11" i="4"/>
  <c r="BE12" i="4"/>
  <c r="BE13" i="4"/>
  <c r="BE20" i="4"/>
  <c r="BE21" i="4"/>
  <c r="BE22" i="4"/>
  <c r="BE23" i="4"/>
  <c r="BE2" i="4"/>
  <c r="BL79" i="2"/>
  <c r="BL77" i="2"/>
  <c r="BL76" i="2"/>
  <c r="BL80" i="2"/>
  <c r="BL43" i="2"/>
  <c r="BL27" i="2"/>
  <c r="BL53" i="2"/>
  <c r="BL52" i="2"/>
  <c r="BL51" i="2"/>
  <c r="BL50" i="2"/>
  <c r="BL54" i="2" s="1"/>
  <c r="BL15" i="2"/>
  <c r="BL38" i="2"/>
  <c r="BF15" i="5"/>
  <c r="BL22" i="2"/>
  <c r="BL9" i="2"/>
  <c r="BJ86" i="2"/>
  <c r="BE21" i="5"/>
  <c r="BE20" i="5"/>
  <c r="BE18" i="5"/>
  <c r="BE17" i="5"/>
  <c r="BE15" i="5"/>
  <c r="BE14" i="5"/>
  <c r="BE12" i="5"/>
  <c r="BE11" i="5"/>
  <c r="BE6" i="5"/>
  <c r="BE5" i="5"/>
  <c r="BE7" i="5" s="1"/>
  <c r="BE9" i="5" s="1"/>
  <c r="BD28" i="4"/>
  <c r="BD27" i="4"/>
  <c r="BD26" i="4"/>
  <c r="BD25" i="4"/>
  <c r="BD12" i="4"/>
  <c r="BD22" i="4" s="1"/>
  <c r="BD10" i="4"/>
  <c r="BD20" i="4" s="1"/>
  <c r="BD6" i="4"/>
  <c r="BD4" i="4"/>
  <c r="BJ79" i="2"/>
  <c r="BJ77" i="2"/>
  <c r="BJ76" i="2"/>
  <c r="BC28" i="4"/>
  <c r="BC27" i="4"/>
  <c r="BC26" i="4"/>
  <c r="BC25" i="4"/>
  <c r="BC13" i="4"/>
  <c r="BC23" i="4" s="1"/>
  <c r="BC12" i="4"/>
  <c r="BC22" i="4" s="1"/>
  <c r="BC11" i="4"/>
  <c r="BC21" i="4" s="1"/>
  <c r="BC10" i="4"/>
  <c r="BC20" i="4" s="1"/>
  <c r="BC7" i="4"/>
  <c r="BC6" i="4"/>
  <c r="BC5" i="4"/>
  <c r="BC4" i="4"/>
  <c r="BC8" i="4" s="1"/>
  <c r="BC2" i="4"/>
  <c r="BD21" i="5"/>
  <c r="BD20" i="5"/>
  <c r="BD18" i="5"/>
  <c r="BD17" i="5"/>
  <c r="BD12" i="5"/>
  <c r="BD11" i="5"/>
  <c r="BD6" i="5"/>
  <c r="BD5" i="5"/>
  <c r="BD7" i="5" s="1"/>
  <c r="BD9" i="5" s="1"/>
  <c r="BD3" i="5"/>
  <c r="BD7" i="4"/>
  <c r="BD13" i="4"/>
  <c r="BD23" i="4" s="1"/>
  <c r="BD5" i="4"/>
  <c r="BD11" i="4"/>
  <c r="BD21" i="4" s="1"/>
  <c r="BJ80" i="2"/>
  <c r="BJ53" i="2"/>
  <c r="BJ52" i="2"/>
  <c r="BJ51" i="2"/>
  <c r="BJ50" i="2"/>
  <c r="BJ54" i="2" s="1"/>
  <c r="BJ43" i="2"/>
  <c r="BJ38" i="2"/>
  <c r="BJ34" i="2"/>
  <c r="BD15" i="5" s="1"/>
  <c r="BJ33" i="2"/>
  <c r="BD14" i="5" s="1"/>
  <c r="BJ27" i="2"/>
  <c r="BJ22" i="2"/>
  <c r="BJ15" i="2"/>
  <c r="BJ91" i="2" s="1"/>
  <c r="BJ9" i="2"/>
  <c r="BA3" i="5"/>
  <c r="BB3" i="5"/>
  <c r="BC3" i="5"/>
  <c r="BC21" i="5"/>
  <c r="BC20" i="5"/>
  <c r="BC18" i="5"/>
  <c r="BC17" i="5"/>
  <c r="BC12" i="5"/>
  <c r="BC11" i="5"/>
  <c r="BC6" i="5"/>
  <c r="BC5" i="5"/>
  <c r="BC7" i="5" s="1"/>
  <c r="BC9" i="5" s="1"/>
  <c r="AZ2" i="4"/>
  <c r="BA2" i="4"/>
  <c r="BB2" i="4"/>
  <c r="BB28" i="4"/>
  <c r="BB27" i="4"/>
  <c r="BB26" i="4"/>
  <c r="BB25" i="4"/>
  <c r="BB13" i="4"/>
  <c r="BB23" i="4" s="1"/>
  <c r="BB12" i="4"/>
  <c r="BB22" i="4" s="1"/>
  <c r="BB11" i="4"/>
  <c r="BB21" i="4" s="1"/>
  <c r="BB10" i="4"/>
  <c r="BB20" i="4" s="1"/>
  <c r="BB7" i="4"/>
  <c r="BB6" i="4"/>
  <c r="BB5" i="4"/>
  <c r="BB4" i="4"/>
  <c r="BB8" i="4" s="1"/>
  <c r="BH86" i="2"/>
  <c r="BI76" i="2"/>
  <c r="BI80" i="2"/>
  <c r="BI53" i="2"/>
  <c r="BI52" i="2"/>
  <c r="BI51" i="2"/>
  <c r="BI50" i="2"/>
  <c r="BI54" i="2" s="1"/>
  <c r="BI43" i="2"/>
  <c r="BI38" i="2"/>
  <c r="BI34" i="2"/>
  <c r="BC15" i="5" s="1"/>
  <c r="BI33" i="2"/>
  <c r="BC14" i="5" s="1"/>
  <c r="BI27" i="2"/>
  <c r="BI22" i="2"/>
  <c r="BI15" i="2"/>
  <c r="BI9" i="2"/>
  <c r="BI17" i="2" s="1"/>
  <c r="BI18" i="2" s="1"/>
  <c r="BF6" i="2"/>
  <c r="BB21" i="5"/>
  <c r="BB20" i="5"/>
  <c r="BB18" i="5"/>
  <c r="BB17" i="5"/>
  <c r="BB12" i="5"/>
  <c r="BB11" i="5"/>
  <c r="BB6" i="5"/>
  <c r="BB5" i="5"/>
  <c r="BB7" i="5" s="1"/>
  <c r="BB9" i="5" s="1"/>
  <c r="BA28" i="4"/>
  <c r="BA27" i="4"/>
  <c r="BA26" i="4"/>
  <c r="BA25" i="4"/>
  <c r="BA13" i="4"/>
  <c r="BA23" i="4" s="1"/>
  <c r="BA12" i="4"/>
  <c r="BA22" i="4" s="1"/>
  <c r="BA11" i="4"/>
  <c r="BA21" i="4" s="1"/>
  <c r="BA10" i="4"/>
  <c r="BA20" i="4" s="1"/>
  <c r="BA7" i="4"/>
  <c r="BA6" i="4"/>
  <c r="BA5" i="4"/>
  <c r="BA4" i="4"/>
  <c r="BA8" i="4" s="1"/>
  <c r="BH79" i="2"/>
  <c r="BH78" i="2"/>
  <c r="BH77" i="2"/>
  <c r="BH76" i="2"/>
  <c r="BH80" i="2"/>
  <c r="BH53" i="2"/>
  <c r="BH52" i="2"/>
  <c r="BH51" i="2"/>
  <c r="BH50" i="2"/>
  <c r="BH54" i="2" s="1"/>
  <c r="BH43" i="2"/>
  <c r="BH38" i="2"/>
  <c r="BH34" i="2"/>
  <c r="BB15" i="5" s="1"/>
  <c r="BH33" i="2"/>
  <c r="BB14" i="5" s="1"/>
  <c r="BH27" i="2"/>
  <c r="BH22" i="2"/>
  <c r="BH15" i="2"/>
  <c r="BH91" i="2" s="1"/>
  <c r="BK91" i="2" s="1"/>
  <c r="BH9" i="2"/>
  <c r="AF17" i="6"/>
  <c r="AF22" i="6" s="1"/>
  <c r="AF16" i="6"/>
  <c r="AF21" i="6" s="1"/>
  <c r="J83" i="6"/>
  <c r="K83" i="6"/>
  <c r="L83" i="6"/>
  <c r="R83" i="6"/>
  <c r="W83" i="6"/>
  <c r="AB83" i="6"/>
  <c r="J84" i="6"/>
  <c r="K84" i="6"/>
  <c r="L84" i="6"/>
  <c r="R84" i="6"/>
  <c r="W84" i="6"/>
  <c r="AB84" i="6"/>
  <c r="R85" i="6"/>
  <c r="AB85" i="6"/>
  <c r="R86" i="6"/>
  <c r="AF49" i="6"/>
  <c r="AF38" i="6"/>
  <c r="AF47" i="6"/>
  <c r="AF36" i="6"/>
  <c r="AF51" i="6"/>
  <c r="AF40" i="6"/>
  <c r="AF45" i="6"/>
  <c r="AF34" i="6"/>
  <c r="AF50" i="6"/>
  <c r="AF39" i="6"/>
  <c r="AF43" i="6"/>
  <c r="AF32" i="6"/>
  <c r="AF46" i="6"/>
  <c r="AF35" i="6"/>
  <c r="AF42" i="6"/>
  <c r="AF31" i="6"/>
  <c r="BF101" i="2"/>
  <c r="BF102" i="2" s="1"/>
  <c r="AY83" i="4"/>
  <c r="AY78" i="4"/>
  <c r="AY73" i="4"/>
  <c r="AY82" i="4"/>
  <c r="AY77" i="4"/>
  <c r="AY72" i="4"/>
  <c r="AY81" i="4"/>
  <c r="AY71" i="4"/>
  <c r="AY76" i="4"/>
  <c r="AY79" i="4"/>
  <c r="AY74" i="4"/>
  <c r="BA21" i="5"/>
  <c r="BA20" i="5"/>
  <c r="BA18" i="5"/>
  <c r="BA17" i="5"/>
  <c r="BA12" i="5"/>
  <c r="BA11" i="5"/>
  <c r="BA6" i="5"/>
  <c r="BA5" i="5"/>
  <c r="BA7" i="5" s="1"/>
  <c r="BA9" i="5" s="1"/>
  <c r="AZ28" i="4"/>
  <c r="AZ27" i="4"/>
  <c r="AZ26" i="4"/>
  <c r="AZ25" i="4"/>
  <c r="AZ13" i="4"/>
  <c r="AZ23" i="4" s="1"/>
  <c r="AZ12" i="4"/>
  <c r="AZ22" i="4" s="1"/>
  <c r="AZ11" i="4"/>
  <c r="AZ21" i="4" s="1"/>
  <c r="AZ10" i="4"/>
  <c r="AZ20" i="4" s="1"/>
  <c r="AZ7" i="4"/>
  <c r="AZ6" i="4"/>
  <c r="AZ5" i="4"/>
  <c r="AZ4" i="4"/>
  <c r="AZ8" i="4" s="1"/>
  <c r="AY4" i="4"/>
  <c r="AY5" i="4"/>
  <c r="AY6" i="4"/>
  <c r="AY7" i="4"/>
  <c r="AY8" i="4"/>
  <c r="AY10" i="4"/>
  <c r="AY11" i="4"/>
  <c r="AY12" i="4"/>
  <c r="AY13" i="4"/>
  <c r="AY20" i="4"/>
  <c r="AY21" i="4"/>
  <c r="AY22" i="4"/>
  <c r="AY23" i="4"/>
  <c r="AY25" i="4"/>
  <c r="AY26" i="4"/>
  <c r="AY27" i="4"/>
  <c r="AY28" i="4"/>
  <c r="BG79" i="2"/>
  <c r="BG77" i="2"/>
  <c r="BG76" i="2"/>
  <c r="BG80" i="2" s="1"/>
  <c r="BE76" i="2"/>
  <c r="BG50" i="2"/>
  <c r="BG51" i="2"/>
  <c r="BG52" i="2"/>
  <c r="BG53" i="2"/>
  <c r="BG54" i="2"/>
  <c r="BG33" i="2"/>
  <c r="BA14" i="5" s="1"/>
  <c r="BG34" i="2"/>
  <c r="BA15" i="5" s="1"/>
  <c r="BG43" i="2"/>
  <c r="BG38" i="2"/>
  <c r="BG27" i="2"/>
  <c r="BG22" i="2"/>
  <c r="BG15" i="2"/>
  <c r="BG9" i="2"/>
  <c r="BG17" i="2" s="1"/>
  <c r="BG18" i="2" s="1"/>
  <c r="BE86" i="2"/>
  <c r="AZ21" i="5"/>
  <c r="AZ20" i="5"/>
  <c r="AZ18" i="5"/>
  <c r="AZ17" i="5"/>
  <c r="AZ15" i="5"/>
  <c r="AZ14" i="5"/>
  <c r="AZ12" i="5"/>
  <c r="AZ11" i="5"/>
  <c r="AZ6" i="5"/>
  <c r="AZ5" i="5"/>
  <c r="AZ7" i="5" s="1"/>
  <c r="AZ9" i="5" s="1"/>
  <c r="AF9" i="6"/>
  <c r="AF7" i="6"/>
  <c r="AF6" i="6"/>
  <c r="AY20" i="5"/>
  <c r="AY21" i="5"/>
  <c r="AY17" i="5"/>
  <c r="AY18" i="5"/>
  <c r="AY11" i="5"/>
  <c r="AY12" i="5"/>
  <c r="AY5" i="5"/>
  <c r="AY6" i="5"/>
  <c r="AY7" i="5"/>
  <c r="AY9" i="5" s="1"/>
  <c r="AX25" i="4"/>
  <c r="AX26" i="4"/>
  <c r="AX27" i="4"/>
  <c r="AX28" i="4"/>
  <c r="AX10" i="4"/>
  <c r="AX20" i="4" s="1"/>
  <c r="AX11" i="4"/>
  <c r="AX21" i="4" s="1"/>
  <c r="AX12" i="4"/>
  <c r="AX22" i="4" s="1"/>
  <c r="AX13" i="4"/>
  <c r="AX23" i="4" s="1"/>
  <c r="AX4" i="4"/>
  <c r="AX5" i="4"/>
  <c r="AX6" i="4"/>
  <c r="AX7" i="4"/>
  <c r="AX8" i="4"/>
  <c r="BE79" i="2"/>
  <c r="BE77" i="2"/>
  <c r="BE80" i="2"/>
  <c r="BE50" i="2"/>
  <c r="BE51" i="2"/>
  <c r="BE52" i="2"/>
  <c r="BE53" i="2"/>
  <c r="BE54" i="2"/>
  <c r="BE33" i="2"/>
  <c r="AY14" i="5" s="1"/>
  <c r="BE34" i="2"/>
  <c r="AY15" i="5" s="1"/>
  <c r="BE43" i="2"/>
  <c r="BE38" i="2"/>
  <c r="BE27" i="2"/>
  <c r="BE22" i="2"/>
  <c r="BE15" i="2"/>
  <c r="BE91" i="2" s="1"/>
  <c r="BE9" i="2"/>
  <c r="BF54" i="2"/>
  <c r="BF58" i="2" s="1"/>
  <c r="BF43" i="2"/>
  <c r="BF38" i="2"/>
  <c r="BF27" i="2"/>
  <c r="BF22" i="2"/>
  <c r="BF15" i="2"/>
  <c r="BF9" i="2"/>
  <c r="BF17" i="2" s="1"/>
  <c r="BF18" i="2" s="1"/>
  <c r="AX5" i="5"/>
  <c r="AX6" i="5"/>
  <c r="AX7" i="5"/>
  <c r="AX9" i="5"/>
  <c r="AX11" i="5"/>
  <c r="AX12" i="5"/>
  <c r="AX17" i="5"/>
  <c r="AX18" i="5"/>
  <c r="AX20" i="5"/>
  <c r="AX21" i="5"/>
  <c r="AW4" i="4"/>
  <c r="AW5" i="4"/>
  <c r="AW6" i="4"/>
  <c r="AW7" i="4"/>
  <c r="AW8" i="4"/>
  <c r="AW10" i="4"/>
  <c r="AW11" i="4"/>
  <c r="AW12" i="4"/>
  <c r="AW13" i="4"/>
  <c r="AW20" i="4"/>
  <c r="AW21" i="4"/>
  <c r="AW22" i="4"/>
  <c r="AW23" i="4"/>
  <c r="AW25" i="4"/>
  <c r="AW26" i="4"/>
  <c r="AW27" i="4"/>
  <c r="AW28" i="4"/>
  <c r="BD79" i="2"/>
  <c r="BD76" i="2"/>
  <c r="BD80" i="2"/>
  <c r="BD53" i="2"/>
  <c r="BD52" i="2"/>
  <c r="BD51" i="2"/>
  <c r="BD50" i="2"/>
  <c r="BD54" i="2" s="1"/>
  <c r="BD43" i="2"/>
  <c r="BD38" i="2"/>
  <c r="BD34" i="2"/>
  <c r="AX15" i="5" s="1"/>
  <c r="BD33" i="2"/>
  <c r="AX14" i="5" s="1"/>
  <c r="BD27" i="2"/>
  <c r="BD22" i="2"/>
  <c r="BD15" i="2"/>
  <c r="BD9" i="2"/>
  <c r="BD17" i="2" s="1"/>
  <c r="BD18" i="2" s="1"/>
  <c r="BC86" i="2"/>
  <c r="AW5" i="5"/>
  <c r="AW6" i="5"/>
  <c r="AW7" i="5"/>
  <c r="AW9" i="5"/>
  <c r="AW11" i="5"/>
  <c r="AW12" i="5"/>
  <c r="AW17" i="5"/>
  <c r="AW18" i="5"/>
  <c r="AW20" i="5"/>
  <c r="AW21" i="5"/>
  <c r="AV25" i="4"/>
  <c r="AV26" i="4"/>
  <c r="AV27" i="4"/>
  <c r="AV28" i="4"/>
  <c r="AV4" i="4"/>
  <c r="AV5" i="4"/>
  <c r="AV6" i="4"/>
  <c r="AV7" i="4"/>
  <c r="AV8" i="4"/>
  <c r="AV10" i="4"/>
  <c r="AV20" i="4" s="1"/>
  <c r="AV11" i="4"/>
  <c r="AV21" i="4" s="1"/>
  <c r="AV12" i="4"/>
  <c r="AV22" i="4" s="1"/>
  <c r="AV13" i="4"/>
  <c r="AV23" i="4" s="1"/>
  <c r="BC76" i="2"/>
  <c r="BC80" i="2" s="1"/>
  <c r="BC43" i="2"/>
  <c r="BC27" i="2"/>
  <c r="BC15" i="2"/>
  <c r="BC91" i="2" s="1"/>
  <c r="BC50" i="2"/>
  <c r="BC51" i="2"/>
  <c r="BC52" i="2"/>
  <c r="BC53" i="2"/>
  <c r="BC54" i="2"/>
  <c r="BC38" i="2"/>
  <c r="BC22" i="2"/>
  <c r="BC9" i="2"/>
  <c r="BC90" i="2" s="1"/>
  <c r="BC34" i="2"/>
  <c r="AW15" i="5" s="1"/>
  <c r="BC33" i="2"/>
  <c r="AW14" i="5" s="1"/>
  <c r="BC17" i="2"/>
  <c r="BC18" i="2" s="1"/>
  <c r="AZ6" i="2"/>
  <c r="AE45" i="6"/>
  <c r="AU89" i="4"/>
  <c r="AU25" i="4"/>
  <c r="AU26" i="4"/>
  <c r="AU27" i="4"/>
  <c r="AU28" i="4"/>
  <c r="AU4" i="4"/>
  <c r="AU5" i="4"/>
  <c r="AU6" i="4"/>
  <c r="AU7" i="4"/>
  <c r="AU8" i="4"/>
  <c r="AU10" i="4"/>
  <c r="AU11" i="4"/>
  <c r="AU12" i="4"/>
  <c r="AU13" i="4"/>
  <c r="AU20" i="4"/>
  <c r="AU21" i="4"/>
  <c r="AU22" i="4"/>
  <c r="AU23" i="4"/>
  <c r="AV5" i="5"/>
  <c r="AV6" i="5"/>
  <c r="AV7" i="5"/>
  <c r="AV9" i="5"/>
  <c r="AV11" i="5"/>
  <c r="AV12" i="5"/>
  <c r="AV17" i="5"/>
  <c r="AV18" i="5"/>
  <c r="AV20" i="5"/>
  <c r="AV21" i="5"/>
  <c r="BB76" i="2"/>
  <c r="BB80" i="2"/>
  <c r="BB50" i="2"/>
  <c r="BB51" i="2"/>
  <c r="BB52" i="2"/>
  <c r="BB53" i="2"/>
  <c r="BB54" i="2"/>
  <c r="BB43" i="2"/>
  <c r="BB38" i="2"/>
  <c r="BB34" i="2"/>
  <c r="AV15" i="5" s="1"/>
  <c r="BB33" i="2"/>
  <c r="AV14" i="5" s="1"/>
  <c r="BB27" i="2"/>
  <c r="BB22" i="2"/>
  <c r="BB15" i="2"/>
  <c r="BB9" i="2"/>
  <c r="BB17" i="2" s="1"/>
  <c r="AE9" i="6"/>
  <c r="AE7" i="6"/>
  <c r="AE6" i="6"/>
  <c r="AE31" i="6"/>
  <c r="AE49" i="6"/>
  <c r="AE38" i="6"/>
  <c r="AE47" i="6"/>
  <c r="AE36" i="6"/>
  <c r="AE51" i="6"/>
  <c r="AE40" i="6"/>
  <c r="AE34" i="6"/>
  <c r="AE50" i="6"/>
  <c r="AE39" i="6"/>
  <c r="AE43" i="6"/>
  <c r="AE32" i="6"/>
  <c r="AE46" i="6"/>
  <c r="AE35" i="6"/>
  <c r="AE42" i="6"/>
  <c r="AS79" i="4"/>
  <c r="AS84" i="4"/>
  <c r="AV50" i="2"/>
  <c r="M71" i="4"/>
  <c r="M81" i="4"/>
  <c r="AT28" i="4"/>
  <c r="AT27" i="4"/>
  <c r="AT26" i="4"/>
  <c r="AT25" i="4"/>
  <c r="AU5" i="5"/>
  <c r="AU6" i="5"/>
  <c r="AU7" i="5"/>
  <c r="AU9" i="5"/>
  <c r="AU11" i="5"/>
  <c r="AU12" i="5"/>
  <c r="AU17" i="5"/>
  <c r="AU18" i="5"/>
  <c r="AU20" i="5"/>
  <c r="AU21" i="5"/>
  <c r="AT4" i="4"/>
  <c r="AT5" i="4"/>
  <c r="AT6" i="4"/>
  <c r="AT7" i="4"/>
  <c r="AT8" i="4"/>
  <c r="AT10" i="4"/>
  <c r="AT20" i="4" s="1"/>
  <c r="AT11" i="4"/>
  <c r="AT21" i="4" s="1"/>
  <c r="AT12" i="4"/>
  <c r="AT22" i="4" s="1"/>
  <c r="AT13" i="4"/>
  <c r="AT23" i="4" s="1"/>
  <c r="BA79" i="2"/>
  <c r="BA76" i="2"/>
  <c r="BA86" i="2"/>
  <c r="BA80" i="2"/>
  <c r="AZ57" i="2"/>
  <c r="AZ56" i="2"/>
  <c r="BA53" i="2"/>
  <c r="BA52" i="2"/>
  <c r="BA51" i="2"/>
  <c r="BA50" i="2"/>
  <c r="BA54" i="2" s="1"/>
  <c r="BA43" i="2"/>
  <c r="BA38" i="2"/>
  <c r="BA34" i="2"/>
  <c r="AU15" i="5" s="1"/>
  <c r="BA33" i="2"/>
  <c r="AU14" i="5" s="1"/>
  <c r="BA27" i="2"/>
  <c r="BA22" i="2"/>
  <c r="BA15" i="2"/>
  <c r="BA91" i="2" s="1"/>
  <c r="BF91" i="2" s="1"/>
  <c r="BA9" i="2"/>
  <c r="BA90" i="2" s="1"/>
  <c r="AS10" i="4"/>
  <c r="AS20" i="4" s="1"/>
  <c r="AS11" i="4"/>
  <c r="AS21" i="4" s="1"/>
  <c r="AS12" i="4"/>
  <c r="AS22" i="4" s="1"/>
  <c r="AS13" i="4"/>
  <c r="AS23" i="4" s="1"/>
  <c r="AS4" i="4"/>
  <c r="AS5" i="4"/>
  <c r="AS6" i="4"/>
  <c r="AS7" i="4"/>
  <c r="AS8" i="4"/>
  <c r="AT20" i="5"/>
  <c r="AT21" i="5"/>
  <c r="AT17" i="5"/>
  <c r="AT18" i="5"/>
  <c r="AT14" i="5"/>
  <c r="AT15" i="5"/>
  <c r="AT11" i="5"/>
  <c r="AT12" i="5"/>
  <c r="AT5" i="5"/>
  <c r="AT6" i="5"/>
  <c r="AT7" i="5"/>
  <c r="AT9" i="5" s="1"/>
  <c r="AS5" i="5"/>
  <c r="AS6" i="5"/>
  <c r="AS7" i="5"/>
  <c r="AS9" i="5"/>
  <c r="AS11" i="5"/>
  <c r="AS12" i="5"/>
  <c r="AS17" i="5"/>
  <c r="AS18" i="5"/>
  <c r="AS20" i="5"/>
  <c r="AS21" i="5"/>
  <c r="AR25" i="4"/>
  <c r="AR26" i="4"/>
  <c r="AR27" i="4"/>
  <c r="AR28" i="4"/>
  <c r="AR4" i="4"/>
  <c r="AR5" i="4"/>
  <c r="AR6" i="4"/>
  <c r="AR7" i="4"/>
  <c r="AR8" i="4"/>
  <c r="AR10" i="4"/>
  <c r="AR20" i="4" s="1"/>
  <c r="AR11" i="4"/>
  <c r="AR21" i="4" s="1"/>
  <c r="AR12" i="4"/>
  <c r="AR22" i="4" s="1"/>
  <c r="AR13" i="4"/>
  <c r="AR23" i="4" s="1"/>
  <c r="AZ43" i="2"/>
  <c r="AZ51" i="2"/>
  <c r="AZ38" i="2"/>
  <c r="AZ15" i="2"/>
  <c r="AZ27" i="2"/>
  <c r="AZ22" i="2"/>
  <c r="AZ9" i="2"/>
  <c r="AZ17" i="2"/>
  <c r="AZ18" i="2" s="1"/>
  <c r="AY79" i="2"/>
  <c r="AY78" i="2"/>
  <c r="AY77" i="2"/>
  <c r="AY76" i="2"/>
  <c r="AY80" i="2"/>
  <c r="AY43" i="2"/>
  <c r="AY27" i="2"/>
  <c r="AY15" i="2"/>
  <c r="AY53" i="2"/>
  <c r="AY52" i="2"/>
  <c r="AY51" i="2"/>
  <c r="AY50" i="2"/>
  <c r="AY54" i="2" s="1"/>
  <c r="AY38" i="2"/>
  <c r="AY34" i="2"/>
  <c r="AS15" i="5" s="1"/>
  <c r="AY33" i="2"/>
  <c r="AS14" i="5" s="1"/>
  <c r="AY22" i="2"/>
  <c r="AY9" i="2"/>
  <c r="AY17" i="2"/>
  <c r="AY18" i="2" s="1"/>
  <c r="AD29" i="6"/>
  <c r="AC29" i="6"/>
  <c r="AC28" i="6"/>
  <c r="AD28" i="6"/>
  <c r="AD9" i="6"/>
  <c r="AX86" i="2"/>
  <c r="AQ25" i="4"/>
  <c r="AQ26" i="4"/>
  <c r="AQ27" i="4"/>
  <c r="AQ28" i="4"/>
  <c r="AR20" i="5"/>
  <c r="AR21" i="5"/>
  <c r="AR17" i="5"/>
  <c r="AR18" i="5"/>
  <c r="AR11" i="5"/>
  <c r="AR12" i="5"/>
  <c r="AR5" i="5"/>
  <c r="AR6" i="5"/>
  <c r="AR7" i="5"/>
  <c r="AR9" i="5" s="1"/>
  <c r="AQ10" i="4"/>
  <c r="AQ20" i="4" s="1"/>
  <c r="AQ11" i="4"/>
  <c r="AQ21" i="4" s="1"/>
  <c r="AQ12" i="4"/>
  <c r="AQ22" i="4" s="1"/>
  <c r="AQ13" i="4"/>
  <c r="AQ23" i="4" s="1"/>
  <c r="AQ4" i="4"/>
  <c r="AQ5" i="4"/>
  <c r="AQ6" i="4"/>
  <c r="AQ7" i="4"/>
  <c r="AQ8" i="4"/>
  <c r="AB132" i="6"/>
  <c r="AB131" i="6"/>
  <c r="AB130" i="6"/>
  <c r="AB125" i="6"/>
  <c r="AB122" i="6"/>
  <c r="AB121" i="6"/>
  <c r="AB117" i="6"/>
  <c r="AB101" i="6"/>
  <c r="AB113" i="6"/>
  <c r="AB112" i="6"/>
  <c r="AB107" i="6"/>
  <c r="AB104" i="6"/>
  <c r="AB100" i="6"/>
  <c r="AB99" i="6"/>
  <c r="AB93" i="6"/>
  <c r="AB90" i="6"/>
  <c r="AB88" i="6"/>
  <c r="AB78" i="6"/>
  <c r="AB73" i="6"/>
  <c r="AB72" i="6"/>
  <c r="AB70" i="6"/>
  <c r="AB65" i="6"/>
  <c r="AB64" i="6"/>
  <c r="AB62" i="6"/>
  <c r="AB60" i="6"/>
  <c r="AB59" i="6"/>
  <c r="AB55" i="6"/>
  <c r="AB54" i="6"/>
  <c r="W125" i="6"/>
  <c r="W131" i="6"/>
  <c r="W130" i="6"/>
  <c r="W122" i="6"/>
  <c r="W121" i="6"/>
  <c r="W117" i="6"/>
  <c r="W107" i="6"/>
  <c r="W113" i="6"/>
  <c r="W112" i="6"/>
  <c r="W104" i="6"/>
  <c r="W100" i="6"/>
  <c r="W99" i="6"/>
  <c r="W93" i="6"/>
  <c r="W78" i="6"/>
  <c r="W90" i="6"/>
  <c r="W62" i="6"/>
  <c r="W61" i="6"/>
  <c r="W60" i="6"/>
  <c r="W59" i="6"/>
  <c r="W55" i="6"/>
  <c r="W54" i="6"/>
  <c r="W71" i="6"/>
  <c r="W70" i="6"/>
  <c r="W64" i="6"/>
  <c r="R131" i="6"/>
  <c r="R130" i="6"/>
  <c r="R122" i="6"/>
  <c r="R121" i="6"/>
  <c r="R115" i="6"/>
  <c r="R113" i="6"/>
  <c r="R112" i="6"/>
  <c r="R102" i="6"/>
  <c r="R100" i="6"/>
  <c r="R99" i="6"/>
  <c r="R90" i="6"/>
  <c r="R73" i="6"/>
  <c r="R70" i="6"/>
  <c r="R64" i="6"/>
  <c r="R61" i="6"/>
  <c r="R60" i="6"/>
  <c r="R59" i="6"/>
  <c r="R55" i="6"/>
  <c r="R54" i="6"/>
  <c r="L131" i="6"/>
  <c r="L130" i="6"/>
  <c r="L122" i="6"/>
  <c r="L121" i="6"/>
  <c r="L113" i="6"/>
  <c r="L112" i="6"/>
  <c r="J43" i="6"/>
  <c r="L100" i="6"/>
  <c r="L99" i="6"/>
  <c r="L62" i="6"/>
  <c r="L60" i="6"/>
  <c r="L59" i="6"/>
  <c r="L55" i="6"/>
  <c r="L54" i="6"/>
  <c r="L70" i="6"/>
  <c r="L67" i="6"/>
  <c r="L64" i="6"/>
  <c r="L90" i="6"/>
  <c r="K131" i="6"/>
  <c r="K130" i="6"/>
  <c r="K122" i="6"/>
  <c r="K121" i="6"/>
  <c r="K113" i="6"/>
  <c r="K112" i="6"/>
  <c r="K100" i="6"/>
  <c r="K99" i="6"/>
  <c r="K73" i="6"/>
  <c r="K70" i="6"/>
  <c r="K67" i="6"/>
  <c r="K64" i="6"/>
  <c r="K62" i="6"/>
  <c r="K60" i="6"/>
  <c r="K59" i="6"/>
  <c r="K55" i="6"/>
  <c r="K54" i="6"/>
  <c r="J131" i="6"/>
  <c r="J130" i="6"/>
  <c r="J122" i="6"/>
  <c r="J121" i="6"/>
  <c r="J113" i="6"/>
  <c r="J112" i="6"/>
  <c r="J100" i="6"/>
  <c r="J99" i="6"/>
  <c r="J70" i="6"/>
  <c r="J64" i="6"/>
  <c r="J62" i="6"/>
  <c r="J59" i="6"/>
  <c r="J57" i="6"/>
  <c r="J55" i="6"/>
  <c r="J54" i="6"/>
  <c r="AD51" i="6"/>
  <c r="AD50" i="6"/>
  <c r="AD49" i="6"/>
  <c r="AD48" i="6"/>
  <c r="AD47" i="6"/>
  <c r="AD46" i="6"/>
  <c r="AD45" i="6"/>
  <c r="AD44" i="6"/>
  <c r="AD43" i="6"/>
  <c r="AD42" i="6"/>
  <c r="AD40" i="6"/>
  <c r="AD39" i="6"/>
  <c r="AD38" i="6"/>
  <c r="AD37" i="6"/>
  <c r="AD36" i="6"/>
  <c r="AD35" i="6"/>
  <c r="AD34" i="6"/>
  <c r="AD33" i="6"/>
  <c r="AD32" i="6"/>
  <c r="AD31" i="6"/>
  <c r="AC51" i="6"/>
  <c r="AC50" i="6"/>
  <c r="AC49" i="6"/>
  <c r="AC48" i="6"/>
  <c r="AC47" i="6"/>
  <c r="AC46" i="6"/>
  <c r="AC45" i="6"/>
  <c r="AC44" i="6"/>
  <c r="AC43" i="6"/>
  <c r="AC42" i="6"/>
  <c r="AC38" i="6"/>
  <c r="AC36" i="6"/>
  <c r="AC35" i="6"/>
  <c r="AC34" i="6"/>
  <c r="AC33" i="6"/>
  <c r="AC32" i="6"/>
  <c r="AC31" i="6"/>
  <c r="AB51" i="6"/>
  <c r="AB50" i="6"/>
  <c r="AB49" i="6"/>
  <c r="AB48" i="6"/>
  <c r="AB47" i="6"/>
  <c r="AB46" i="6"/>
  <c r="AB45" i="6"/>
  <c r="AB44" i="6"/>
  <c r="AB43" i="6"/>
  <c r="AB42" i="6"/>
  <c r="AB39" i="6"/>
  <c r="AB38" i="6"/>
  <c r="AB36" i="6"/>
  <c r="AB35" i="6"/>
  <c r="AB34" i="6"/>
  <c r="AB32" i="6"/>
  <c r="AB31" i="6"/>
  <c r="W51" i="6"/>
  <c r="W50" i="6"/>
  <c r="W49" i="6"/>
  <c r="W48" i="6"/>
  <c r="W47" i="6"/>
  <c r="W46" i="6"/>
  <c r="W45" i="6"/>
  <c r="W43" i="6"/>
  <c r="W42" i="6"/>
  <c r="W40" i="6"/>
  <c r="W39" i="6"/>
  <c r="W38" i="6"/>
  <c r="W36" i="6"/>
  <c r="W35" i="6"/>
  <c r="W34" i="6"/>
  <c r="W32" i="6"/>
  <c r="W31" i="6"/>
  <c r="R51" i="6"/>
  <c r="R50" i="6"/>
  <c r="R49" i="6"/>
  <c r="R47" i="6"/>
  <c r="R46" i="6"/>
  <c r="R45" i="6"/>
  <c r="R43" i="6"/>
  <c r="R42" i="6"/>
  <c r="R40" i="6"/>
  <c r="R39" i="6"/>
  <c r="R38" i="6"/>
  <c r="R36" i="6"/>
  <c r="R34" i="6"/>
  <c r="R32" i="6"/>
  <c r="R31" i="6"/>
  <c r="L51" i="6"/>
  <c r="L50" i="6"/>
  <c r="L49" i="6"/>
  <c r="L47" i="6"/>
  <c r="L46" i="6"/>
  <c r="L45" i="6"/>
  <c r="L43" i="6"/>
  <c r="L42" i="6"/>
  <c r="L40" i="6"/>
  <c r="L39" i="6"/>
  <c r="L38" i="6"/>
  <c r="L36" i="6"/>
  <c r="L34" i="6"/>
  <c r="L32" i="6"/>
  <c r="L31" i="6"/>
  <c r="K51" i="6"/>
  <c r="K50" i="6"/>
  <c r="K49" i="6"/>
  <c r="K47" i="6"/>
  <c r="K45" i="6"/>
  <c r="K43" i="6"/>
  <c r="K42" i="6"/>
  <c r="K40" i="6"/>
  <c r="K39" i="6"/>
  <c r="K38" i="6"/>
  <c r="K34" i="6"/>
  <c r="K32" i="6"/>
  <c r="K31" i="6"/>
  <c r="J51" i="6"/>
  <c r="J50" i="6"/>
  <c r="J49" i="6"/>
  <c r="J47" i="6"/>
  <c r="J45" i="6"/>
  <c r="J42" i="6"/>
  <c r="J40" i="6"/>
  <c r="J39" i="6"/>
  <c r="J36" i="6"/>
  <c r="J34" i="6"/>
  <c r="J32" i="6"/>
  <c r="J31" i="6"/>
  <c r="AX76" i="2"/>
  <c r="AX80" i="2"/>
  <c r="AX43" i="2"/>
  <c r="AX27" i="2"/>
  <c r="AX22" i="2"/>
  <c r="AX50" i="2"/>
  <c r="AX51" i="2"/>
  <c r="AX52" i="2"/>
  <c r="AX53" i="2"/>
  <c r="AX54" i="2"/>
  <c r="AX38" i="2"/>
  <c r="AX33" i="2"/>
  <c r="AR14" i="5" s="1"/>
  <c r="AX34" i="2"/>
  <c r="AR15" i="5" s="1"/>
  <c r="AX15" i="2"/>
  <c r="AX91" i="2" s="1"/>
  <c r="AX9" i="2"/>
  <c r="AX90" i="2" s="1"/>
  <c r="AX17" i="2"/>
  <c r="AX18" i="2"/>
  <c r="AQ56" i="2"/>
  <c r="AR56" i="2"/>
  <c r="AS56" i="2"/>
  <c r="AT56" i="2"/>
  <c r="AQ57" i="2"/>
  <c r="AR57" i="2"/>
  <c r="AS57" i="2"/>
  <c r="AT57" i="2"/>
  <c r="AU5" i="2"/>
  <c r="AQ5" i="5"/>
  <c r="AQ6" i="5"/>
  <c r="AQ7" i="5"/>
  <c r="AQ9" i="5"/>
  <c r="AQ11" i="5"/>
  <c r="AQ12" i="5"/>
  <c r="AQ17" i="5"/>
  <c r="AQ18" i="5"/>
  <c r="AQ20" i="5"/>
  <c r="AQ21" i="5"/>
  <c r="AP25" i="4"/>
  <c r="AP26" i="4"/>
  <c r="AP27" i="4"/>
  <c r="AP28" i="4"/>
  <c r="AP4" i="4"/>
  <c r="AP5" i="4"/>
  <c r="AP6" i="4"/>
  <c r="AP7" i="4"/>
  <c r="AP8" i="4"/>
  <c r="AP10" i="4"/>
  <c r="AP20" i="4" s="1"/>
  <c r="AP11" i="4"/>
  <c r="AP21" i="4" s="1"/>
  <c r="AP12" i="4"/>
  <c r="AP22" i="4" s="1"/>
  <c r="AP13" i="4"/>
  <c r="AP23" i="4" s="1"/>
  <c r="AW76" i="2"/>
  <c r="AW80" i="2"/>
  <c r="AW43" i="2"/>
  <c r="AW27" i="2"/>
  <c r="AW38" i="2"/>
  <c r="AW34" i="2"/>
  <c r="AQ15" i="5" s="1"/>
  <c r="AW22" i="2"/>
  <c r="AW50" i="2"/>
  <c r="AW51" i="2"/>
  <c r="AW52" i="2"/>
  <c r="AW53" i="2"/>
  <c r="AW54" i="2"/>
  <c r="AW33" i="2"/>
  <c r="AQ14" i="5" s="1"/>
  <c r="AW15" i="2"/>
  <c r="AW9" i="2"/>
  <c r="AW17" i="2" s="1"/>
  <c r="AV86" i="2"/>
  <c r="AP5" i="5"/>
  <c r="AP6" i="5"/>
  <c r="AP7" i="5"/>
  <c r="AP9" i="5"/>
  <c r="AP11" i="5"/>
  <c r="AP12" i="5"/>
  <c r="AP17" i="5"/>
  <c r="AP18" i="5"/>
  <c r="AP20" i="5"/>
  <c r="AP21" i="5"/>
  <c r="AO4" i="4"/>
  <c r="AO5" i="4"/>
  <c r="AO6" i="4"/>
  <c r="AO7" i="4"/>
  <c r="AO8" i="4"/>
  <c r="AO10" i="4"/>
  <c r="AO11" i="4"/>
  <c r="AO12" i="4"/>
  <c r="AO13" i="4"/>
  <c r="AO20" i="4"/>
  <c r="AO21" i="4"/>
  <c r="AO22" i="4"/>
  <c r="AO23" i="4"/>
  <c r="AO25" i="4"/>
  <c r="AO26" i="4"/>
  <c r="AO27" i="4"/>
  <c r="AO28" i="4"/>
  <c r="AV79" i="2"/>
  <c r="AV76" i="2"/>
  <c r="AV80" i="2" s="1"/>
  <c r="AV51" i="2"/>
  <c r="AV52" i="2"/>
  <c r="AV53" i="2"/>
  <c r="AV54" i="2"/>
  <c r="AV33" i="2"/>
  <c r="AP14" i="5" s="1"/>
  <c r="AV34" i="2"/>
  <c r="AP15" i="5" s="1"/>
  <c r="AV15" i="2"/>
  <c r="AV91" i="2" s="1"/>
  <c r="AV43" i="2"/>
  <c r="AV38" i="2"/>
  <c r="AV27" i="2"/>
  <c r="AV22" i="2"/>
  <c r="AV9" i="2"/>
  <c r="AU10" i="2"/>
  <c r="AT41" i="2"/>
  <c r="AS12" i="2"/>
  <c r="AR12" i="2"/>
  <c r="AQ12" i="2"/>
  <c r="AT11" i="2"/>
  <c r="AS11" i="2"/>
  <c r="AQ11" i="2"/>
  <c r="AR39" i="2"/>
  <c r="AT10" i="2"/>
  <c r="AQ10" i="2"/>
  <c r="AJ12" i="2"/>
  <c r="AJ47" i="2"/>
  <c r="AJ52" i="2"/>
  <c r="AP52" i="2"/>
  <c r="AI42" i="4" s="1"/>
  <c r="AP47" i="2"/>
  <c r="AP41" i="2"/>
  <c r="AP51" i="2"/>
  <c r="AI41" i="4" s="1"/>
  <c r="AI44" i="4" s="1"/>
  <c r="AJ51" i="2"/>
  <c r="AJ11" i="2"/>
  <c r="AJ50" i="2"/>
  <c r="AJ10" i="2"/>
  <c r="AJ23" i="2"/>
  <c r="AO21" i="5"/>
  <c r="AO20" i="5"/>
  <c r="AO18" i="5"/>
  <c r="AO17" i="5"/>
  <c r="AO15" i="5"/>
  <c r="AO14" i="5"/>
  <c r="AO12" i="5"/>
  <c r="AO11" i="5"/>
  <c r="AO6" i="5"/>
  <c r="AO5" i="5"/>
  <c r="AO7" i="5" s="1"/>
  <c r="AO9" i="5" s="1"/>
  <c r="AN5" i="5"/>
  <c r="AN6" i="5"/>
  <c r="AN7" i="5"/>
  <c r="AN9" i="5"/>
  <c r="AN11" i="5"/>
  <c r="AN12" i="5"/>
  <c r="AN17" i="5"/>
  <c r="AN18" i="5"/>
  <c r="AN20" i="5"/>
  <c r="AN21" i="5"/>
  <c r="AN10" i="4"/>
  <c r="AN20" i="4" s="1"/>
  <c r="AN4" i="4"/>
  <c r="AM25" i="4"/>
  <c r="AM26" i="4"/>
  <c r="AM27" i="4"/>
  <c r="AM28" i="4"/>
  <c r="AM10" i="4"/>
  <c r="AM20" i="4" s="1"/>
  <c r="AM11" i="4"/>
  <c r="AM21" i="4" s="1"/>
  <c r="AM12" i="4"/>
  <c r="AM22" i="4" s="1"/>
  <c r="AM13" i="4"/>
  <c r="AM23" i="4" s="1"/>
  <c r="AM4" i="4"/>
  <c r="AM5" i="4"/>
  <c r="AM6" i="4"/>
  <c r="AM7" i="4"/>
  <c r="AM8" i="4"/>
  <c r="AU13" i="2"/>
  <c r="AU53" i="2"/>
  <c r="AN43" i="4" s="1"/>
  <c r="AU52" i="2"/>
  <c r="AN42" i="4" s="1"/>
  <c r="AU41" i="2"/>
  <c r="AU12" i="2"/>
  <c r="AU51" i="2"/>
  <c r="AN41" i="4" s="1"/>
  <c r="AN44" i="4" s="1"/>
  <c r="AU40" i="2"/>
  <c r="AU24" i="2"/>
  <c r="AN11" i="4" s="1"/>
  <c r="AN21" i="4" s="1"/>
  <c r="AU11" i="2"/>
  <c r="AN5" i="4" s="1"/>
  <c r="AU48" i="2"/>
  <c r="AU26" i="2"/>
  <c r="AN13" i="4" s="1"/>
  <c r="AN23" i="4" s="1"/>
  <c r="AU47" i="2"/>
  <c r="AU54" i="2"/>
  <c r="AU25" i="2"/>
  <c r="AN12" i="4" s="1"/>
  <c r="AN22" i="4" s="1"/>
  <c r="AU46" i="2"/>
  <c r="AU43" i="2"/>
  <c r="AU38" i="2"/>
  <c r="AU9" i="2"/>
  <c r="AU27" i="2"/>
  <c r="AU22" i="2"/>
  <c r="AU17" i="2"/>
  <c r="AT79" i="2"/>
  <c r="AT78" i="2"/>
  <c r="AT77" i="2"/>
  <c r="AT76" i="2"/>
  <c r="AT43" i="2"/>
  <c r="AT27" i="2"/>
  <c r="AT53" i="2"/>
  <c r="AT52" i="2"/>
  <c r="AT51" i="2"/>
  <c r="AT50" i="2"/>
  <c r="AT54" i="2" s="1"/>
  <c r="AT58" i="2" s="1"/>
  <c r="AT38" i="2"/>
  <c r="AT22" i="2"/>
  <c r="AT34" i="2"/>
  <c r="AN15" i="5" s="1"/>
  <c r="AT33" i="2"/>
  <c r="AN14" i="5" s="1"/>
  <c r="AS86" i="2"/>
  <c r="AS27" i="2"/>
  <c r="AM5" i="5"/>
  <c r="AM6" i="5"/>
  <c r="AM7" i="5"/>
  <c r="AM9" i="5"/>
  <c r="AM11" i="5"/>
  <c r="AM12" i="5"/>
  <c r="AM17" i="5"/>
  <c r="AM18" i="5"/>
  <c r="AM20" i="5"/>
  <c r="AM21" i="5"/>
  <c r="AL25" i="4"/>
  <c r="AL26" i="4"/>
  <c r="AL27" i="4"/>
  <c r="AL28" i="4"/>
  <c r="AL4" i="4"/>
  <c r="AL5" i="4"/>
  <c r="AL6" i="4"/>
  <c r="AL7" i="4"/>
  <c r="AL8" i="4"/>
  <c r="AL10" i="4"/>
  <c r="AL20" i="4" s="1"/>
  <c r="AL11" i="4"/>
  <c r="AL21" i="4" s="1"/>
  <c r="AL12" i="4"/>
  <c r="AL22" i="4" s="1"/>
  <c r="AL13" i="4"/>
  <c r="AL23" i="4" s="1"/>
  <c r="AS76" i="2"/>
  <c r="AS43" i="2"/>
  <c r="AS22" i="2"/>
  <c r="AS38" i="2"/>
  <c r="AS33" i="2"/>
  <c r="AM14" i="5" s="1"/>
  <c r="AS34" i="2"/>
  <c r="AM15" i="5" s="1"/>
  <c r="AS50" i="2"/>
  <c r="AS51" i="2"/>
  <c r="AS52" i="2"/>
  <c r="AS53" i="2"/>
  <c r="AS54" i="2"/>
  <c r="AS58" i="2" s="1"/>
  <c r="AK25" i="4"/>
  <c r="AK26" i="4"/>
  <c r="AK27" i="4"/>
  <c r="AK28" i="4"/>
  <c r="AK4" i="4"/>
  <c r="AK5" i="4"/>
  <c r="AK6" i="4"/>
  <c r="AK7" i="4"/>
  <c r="AK8" i="4"/>
  <c r="AK10" i="4"/>
  <c r="AK20" i="4" s="1"/>
  <c r="AK11" i="4"/>
  <c r="AK21" i="4" s="1"/>
  <c r="AK12" i="4"/>
  <c r="AK22" i="4" s="1"/>
  <c r="AK13" i="4"/>
  <c r="AK23" i="4" s="1"/>
  <c r="AL5" i="5"/>
  <c r="AL6" i="5"/>
  <c r="AL7" i="5"/>
  <c r="AL9" i="5"/>
  <c r="AL11" i="5"/>
  <c r="AL12" i="5"/>
  <c r="AL17" i="5"/>
  <c r="AL18" i="5"/>
  <c r="AL20" i="5"/>
  <c r="AL21" i="5"/>
  <c r="AR76" i="2"/>
  <c r="AR43" i="2"/>
  <c r="AR27" i="2"/>
  <c r="AR38" i="2"/>
  <c r="AR22" i="2"/>
  <c r="AR50" i="2"/>
  <c r="AR51" i="2"/>
  <c r="AR52" i="2"/>
  <c r="AR53" i="2"/>
  <c r="AR54" i="2"/>
  <c r="AR58" i="2" s="1"/>
  <c r="AR34" i="2"/>
  <c r="AL15" i="5" s="1"/>
  <c r="AR33" i="2"/>
  <c r="AL14" i="5" s="1"/>
  <c r="AR80" i="2"/>
  <c r="AS80" i="2"/>
  <c r="AT80" i="2"/>
  <c r="AR15" i="2"/>
  <c r="AS15" i="2"/>
  <c r="AT15" i="2"/>
  <c r="AR9" i="2"/>
  <c r="AR17" i="2" s="1"/>
  <c r="AR18" i="2" s="1"/>
  <c r="AS9" i="2"/>
  <c r="AS17" i="2" s="1"/>
  <c r="AT9" i="2"/>
  <c r="AT17" i="2" s="1"/>
  <c r="AT18" i="2" s="1"/>
  <c r="AQ86" i="2"/>
  <c r="AJ28" i="4"/>
  <c r="AJ27" i="4"/>
  <c r="AJ26" i="4"/>
  <c r="AJ25" i="4"/>
  <c r="AJ13" i="4"/>
  <c r="AJ23" i="4" s="1"/>
  <c r="AJ12" i="4"/>
  <c r="AJ22" i="4" s="1"/>
  <c r="AJ11" i="4"/>
  <c r="AJ21" i="4" s="1"/>
  <c r="AJ10" i="4"/>
  <c r="AJ20" i="4" s="1"/>
  <c r="AJ7" i="4"/>
  <c r="AJ6" i="4"/>
  <c r="AJ5" i="4"/>
  <c r="AJ4" i="4"/>
  <c r="AJ8" i="4" s="1"/>
  <c r="AK21" i="5"/>
  <c r="AK20" i="5"/>
  <c r="AK18" i="5"/>
  <c r="AK17" i="5"/>
  <c r="AK12" i="5"/>
  <c r="AK11" i="5"/>
  <c r="AK6" i="5"/>
  <c r="AK5" i="5"/>
  <c r="AK7" i="5" s="1"/>
  <c r="AK9" i="5" s="1"/>
  <c r="AQ77" i="2"/>
  <c r="AQ76" i="2"/>
  <c r="AQ9" i="2"/>
  <c r="AQ15" i="2"/>
  <c r="AQ80" i="2"/>
  <c r="AQ53" i="2"/>
  <c r="AQ52" i="2"/>
  <c r="AQ51" i="2"/>
  <c r="AQ50" i="2"/>
  <c r="AQ54" i="2" s="1"/>
  <c r="AQ58" i="2" s="1"/>
  <c r="AQ43" i="2"/>
  <c r="AQ38" i="2"/>
  <c r="AQ34" i="2"/>
  <c r="AK15" i="5" s="1"/>
  <c r="AQ33" i="2"/>
  <c r="AK14" i="5" s="1"/>
  <c r="AQ27" i="2"/>
  <c r="AQ22" i="2"/>
  <c r="AQ17" i="2"/>
  <c r="AQ18" i="2" s="1"/>
  <c r="AJ20" i="5"/>
  <c r="AJ21" i="5"/>
  <c r="AJ17" i="5"/>
  <c r="AJ18" i="5"/>
  <c r="AJ14" i="5"/>
  <c r="AJ15" i="5"/>
  <c r="AJ11" i="5"/>
  <c r="AJ12" i="5"/>
  <c r="AJ5" i="5"/>
  <c r="AJ6" i="5"/>
  <c r="AP4" i="2"/>
  <c r="AP57" i="2" s="1"/>
  <c r="AP3" i="2"/>
  <c r="AP56" i="2" s="1"/>
  <c r="AI35" i="4"/>
  <c r="AN35" i="4" s="1"/>
  <c r="AI36" i="4"/>
  <c r="AN36" i="4" s="1"/>
  <c r="AI37" i="4"/>
  <c r="AN37" i="4" s="1"/>
  <c r="AI38" i="4"/>
  <c r="AN38" i="4" s="1"/>
  <c r="AI31" i="4"/>
  <c r="AN31" i="4" s="1"/>
  <c r="AI32" i="4"/>
  <c r="AN32" i="4" s="1"/>
  <c r="AI33" i="4"/>
  <c r="AN33" i="4" s="1"/>
  <c r="AI30" i="4"/>
  <c r="AN30" i="4" s="1"/>
  <c r="AI13" i="4"/>
  <c r="AI23" i="4" s="1"/>
  <c r="AI12" i="4"/>
  <c r="AI22" i="4" s="1"/>
  <c r="AI11" i="4"/>
  <c r="AI21" i="4" s="1"/>
  <c r="AI10" i="4"/>
  <c r="AI20" i="4" s="1"/>
  <c r="AI7" i="4"/>
  <c r="AC17" i="6"/>
  <c r="AC22" i="6" s="1"/>
  <c r="AC16" i="6"/>
  <c r="AC21" i="6" s="1"/>
  <c r="AC14" i="6"/>
  <c r="AC9" i="6"/>
  <c r="AI20" i="5"/>
  <c r="AI21" i="5"/>
  <c r="AI17" i="5"/>
  <c r="AI18" i="5"/>
  <c r="AI11" i="5"/>
  <c r="AI12" i="5"/>
  <c r="AI5" i="5"/>
  <c r="AI6" i="5"/>
  <c r="AI7" i="5"/>
  <c r="AI9" i="5" s="1"/>
  <c r="AH25" i="4"/>
  <c r="AH26" i="4"/>
  <c r="AH27" i="4"/>
  <c r="AH28" i="4"/>
  <c r="AH10" i="4"/>
  <c r="AH20" i="4" s="1"/>
  <c r="AH11" i="4"/>
  <c r="AH21" i="4" s="1"/>
  <c r="AH12" i="4"/>
  <c r="AH22" i="4" s="1"/>
  <c r="AH13" i="4"/>
  <c r="AH23" i="4" s="1"/>
  <c r="AH4" i="4"/>
  <c r="AH5" i="4"/>
  <c r="AH6" i="4"/>
  <c r="AH7" i="4"/>
  <c r="AH8" i="4"/>
  <c r="AP5" i="2"/>
  <c r="AE18" i="6" s="1"/>
  <c r="AE23" i="6" s="1"/>
  <c r="AP12" i="2"/>
  <c r="AI6" i="4" s="1"/>
  <c r="AP11" i="2"/>
  <c r="AI5" i="4" s="1"/>
  <c r="AP10" i="2"/>
  <c r="AI4" i="4" s="1"/>
  <c r="AI8" i="4" s="1"/>
  <c r="AP38" i="2"/>
  <c r="AP54" i="2"/>
  <c r="AP58" i="2" s="1"/>
  <c r="AP43" i="2"/>
  <c r="AP27" i="2"/>
  <c r="AP15" i="2"/>
  <c r="AP22" i="2"/>
  <c r="AP9" i="2"/>
  <c r="AP17" i="2"/>
  <c r="AP18" i="2"/>
  <c r="AO43" i="2"/>
  <c r="AO27" i="2"/>
  <c r="AO15" i="2"/>
  <c r="AO79" i="2"/>
  <c r="AO78" i="2"/>
  <c r="AO77" i="2"/>
  <c r="AO76" i="2"/>
  <c r="AO80" i="2" s="1"/>
  <c r="AO34" i="2"/>
  <c r="AI15" i="5" s="1"/>
  <c r="AO53" i="2"/>
  <c r="AO52" i="2"/>
  <c r="AO51" i="2"/>
  <c r="AO50" i="2"/>
  <c r="AO54" i="2" s="1"/>
  <c r="AO38" i="2"/>
  <c r="AO33" i="2"/>
  <c r="AI14" i="5" s="1"/>
  <c r="AO22" i="2"/>
  <c r="AO9" i="2"/>
  <c r="AO17" i="2" s="1"/>
  <c r="AO18" i="2" s="1"/>
  <c r="AN86" i="2"/>
  <c r="AP6" i="2"/>
  <c r="L17" i="6"/>
  <c r="L22" i="6" s="1"/>
  <c r="M17" i="6"/>
  <c r="M22" i="6" s="1"/>
  <c r="N17" i="6"/>
  <c r="N22" i="6" s="1"/>
  <c r="O17" i="6"/>
  <c r="O22" i="6" s="1"/>
  <c r="P17" i="6"/>
  <c r="P22" i="6" s="1"/>
  <c r="Q17" i="6"/>
  <c r="Q22" i="6" s="1"/>
  <c r="R17" i="6"/>
  <c r="R22" i="6" s="1"/>
  <c r="S17" i="6"/>
  <c r="S22" i="6" s="1"/>
  <c r="T17" i="6"/>
  <c r="T22" i="6" s="1"/>
  <c r="U17" i="6"/>
  <c r="U22" i="6" s="1"/>
  <c r="V17" i="6"/>
  <c r="V22" i="6" s="1"/>
  <c r="W17" i="6"/>
  <c r="W22" i="6" s="1"/>
  <c r="L18" i="6"/>
  <c r="L23" i="6" s="1"/>
  <c r="M18" i="6"/>
  <c r="M23" i="6" s="1"/>
  <c r="N18" i="6"/>
  <c r="N23" i="6" s="1"/>
  <c r="O18" i="6"/>
  <c r="O23" i="6" s="1"/>
  <c r="P18" i="6"/>
  <c r="P23" i="6" s="1"/>
  <c r="Q18" i="6"/>
  <c r="Q23" i="6" s="1"/>
  <c r="S18" i="6"/>
  <c r="S23" i="6" s="1"/>
  <c r="T18" i="6"/>
  <c r="T23" i="6" s="1"/>
  <c r="U18" i="6"/>
  <c r="U23" i="6" s="1"/>
  <c r="V18" i="6"/>
  <c r="V23" i="6" s="1"/>
  <c r="N19" i="6"/>
  <c r="O19" i="6"/>
  <c r="P19" i="6"/>
  <c r="Q19" i="6"/>
  <c r="S19" i="6"/>
  <c r="T19" i="6"/>
  <c r="U19" i="6"/>
  <c r="V19" i="6"/>
  <c r="L16" i="6"/>
  <c r="L21" i="6" s="1"/>
  <c r="M16" i="6"/>
  <c r="M21" i="6" s="1"/>
  <c r="N16" i="6"/>
  <c r="N21" i="6" s="1"/>
  <c r="O16" i="6"/>
  <c r="O21" i="6" s="1"/>
  <c r="P16" i="6"/>
  <c r="P21" i="6" s="1"/>
  <c r="Q16" i="6"/>
  <c r="Q21" i="6" s="1"/>
  <c r="R16" i="6"/>
  <c r="R21" i="6" s="1"/>
  <c r="S16" i="6"/>
  <c r="S21" i="6" s="1"/>
  <c r="T16" i="6"/>
  <c r="T21" i="6" s="1"/>
  <c r="U16" i="6"/>
  <c r="U21" i="6" s="1"/>
  <c r="V16" i="6"/>
  <c r="V21" i="6" s="1"/>
  <c r="W16" i="6"/>
  <c r="W21" i="6" s="1"/>
  <c r="X16" i="6"/>
  <c r="X21" i="6" s="1"/>
  <c r="Y16" i="6"/>
  <c r="Y21" i="6" s="1"/>
  <c r="Z16" i="6"/>
  <c r="Z21" i="6" s="1"/>
  <c r="AA16" i="6"/>
  <c r="AA21" i="6" s="1"/>
  <c r="AB17" i="6"/>
  <c r="AB22" i="6" s="1"/>
  <c r="AB16" i="6"/>
  <c r="AB21" i="6" s="1"/>
  <c r="J14" i="6"/>
  <c r="K14" i="6"/>
  <c r="L14" i="6"/>
  <c r="M14" i="6"/>
  <c r="N14" i="6"/>
  <c r="O14" i="6"/>
  <c r="P14" i="6"/>
  <c r="Q14" i="6"/>
  <c r="R14" i="6"/>
  <c r="S14" i="6"/>
  <c r="T14" i="6"/>
  <c r="U14" i="6"/>
  <c r="V14" i="6"/>
  <c r="W14" i="6"/>
  <c r="X14" i="6"/>
  <c r="Y14" i="6"/>
  <c r="Z14" i="6"/>
  <c r="AA14" i="6"/>
  <c r="AB14" i="6"/>
  <c r="AL86" i="2"/>
  <c r="AH11" i="5"/>
  <c r="AH12" i="5"/>
  <c r="AH17" i="5"/>
  <c r="AH18" i="5"/>
  <c r="AH20" i="5"/>
  <c r="AH21" i="5"/>
  <c r="AH5" i="5"/>
  <c r="AH6" i="5"/>
  <c r="AG4" i="4"/>
  <c r="AG5" i="4"/>
  <c r="AG6" i="4"/>
  <c r="AG7" i="4"/>
  <c r="AG8" i="4"/>
  <c r="AG10" i="4"/>
  <c r="AG20" i="4" s="1"/>
  <c r="AG11" i="4"/>
  <c r="AG12" i="4"/>
  <c r="AG13" i="4"/>
  <c r="AG21" i="4"/>
  <c r="AG22" i="4"/>
  <c r="AG23" i="4"/>
  <c r="AG25" i="4"/>
  <c r="AG26" i="4"/>
  <c r="AG27" i="4"/>
  <c r="AG28" i="4"/>
  <c r="AN77" i="2"/>
  <c r="AN76" i="2"/>
  <c r="AN80" i="2" s="1"/>
  <c r="AN43" i="2"/>
  <c r="AN27" i="2"/>
  <c r="AN50" i="2"/>
  <c r="AN51" i="2"/>
  <c r="AN52" i="2"/>
  <c r="AN53" i="2"/>
  <c r="AN54" i="2"/>
  <c r="AN38" i="2"/>
  <c r="AN33" i="2"/>
  <c r="AH14" i="5" s="1"/>
  <c r="AN34" i="2"/>
  <c r="AH15" i="5" s="1"/>
  <c r="AN22" i="2"/>
  <c r="AG5" i="5"/>
  <c r="AG6" i="5"/>
  <c r="AG7" i="5"/>
  <c r="AG9" i="5"/>
  <c r="AG11" i="5"/>
  <c r="AG12" i="5"/>
  <c r="AG17" i="5"/>
  <c r="AG18" i="5"/>
  <c r="AG20" i="5"/>
  <c r="AG21" i="5"/>
  <c r="AF25" i="4"/>
  <c r="AF26" i="4"/>
  <c r="AF27" i="4"/>
  <c r="AF28" i="4"/>
  <c r="AF4" i="4"/>
  <c r="AF5" i="4"/>
  <c r="AF6" i="4"/>
  <c r="AF7" i="4"/>
  <c r="AF8" i="4"/>
  <c r="AF10" i="4"/>
  <c r="AF20" i="4" s="1"/>
  <c r="AF11" i="4"/>
  <c r="AF21" i="4" s="1"/>
  <c r="AF12" i="4"/>
  <c r="AF22" i="4" s="1"/>
  <c r="AF13" i="4"/>
  <c r="AF23" i="4" s="1"/>
  <c r="AM79" i="2"/>
  <c r="AM77" i="2"/>
  <c r="AM78" i="2"/>
  <c r="AM76" i="2"/>
  <c r="AM80" i="2"/>
  <c r="AM43" i="2"/>
  <c r="AM27" i="2"/>
  <c r="AM53" i="2"/>
  <c r="AM52" i="2"/>
  <c r="AM51" i="2"/>
  <c r="AM50" i="2"/>
  <c r="AM54" i="2" s="1"/>
  <c r="AM34" i="2"/>
  <c r="AG15" i="5" s="1"/>
  <c r="AM33" i="2"/>
  <c r="AG14" i="5" s="1"/>
  <c r="AM22" i="2"/>
  <c r="AM38" i="2"/>
  <c r="AF6" i="2"/>
  <c r="AG6" i="2"/>
  <c r="AH6" i="2"/>
  <c r="AI6" i="2"/>
  <c r="AJ6" i="2"/>
  <c r="AL79" i="2"/>
  <c r="AL76" i="2"/>
  <c r="AF20" i="5"/>
  <c r="AF21" i="5"/>
  <c r="AF17" i="5"/>
  <c r="AF18" i="5"/>
  <c r="AF11" i="5"/>
  <c r="AF12" i="5"/>
  <c r="AF5" i="5"/>
  <c r="AF6" i="5"/>
  <c r="AE25" i="4"/>
  <c r="AI25" i="4" s="1"/>
  <c r="AE26" i="4"/>
  <c r="AI26" i="4" s="1"/>
  <c r="AE27" i="4"/>
  <c r="AI27" i="4" s="1"/>
  <c r="AE28" i="4"/>
  <c r="AI28" i="4" s="1"/>
  <c r="AE10" i="4"/>
  <c r="AE20" i="4" s="1"/>
  <c r="AE11" i="4"/>
  <c r="AE21" i="4" s="1"/>
  <c r="AE12" i="4"/>
  <c r="AE22" i="4" s="1"/>
  <c r="AE13" i="4"/>
  <c r="AE23" i="4" s="1"/>
  <c r="AE4" i="4"/>
  <c r="AE5" i="4"/>
  <c r="AE6" i="4"/>
  <c r="AE7" i="4"/>
  <c r="AL78" i="2"/>
  <c r="AL80" i="2"/>
  <c r="AL50" i="2"/>
  <c r="AE40" i="4" s="1"/>
  <c r="AL51" i="2"/>
  <c r="AE41" i="4" s="1"/>
  <c r="AL52" i="2"/>
  <c r="AE42" i="4" s="1"/>
  <c r="AL53" i="2"/>
  <c r="AE43" i="4" s="1"/>
  <c r="AL54" i="2"/>
  <c r="AL27" i="2"/>
  <c r="AK27" i="2"/>
  <c r="AL43" i="2"/>
  <c r="AL34" i="2"/>
  <c r="AF15" i="5" s="1"/>
  <c r="AL33" i="2"/>
  <c r="AF14" i="5" s="1"/>
  <c r="AL38" i="2"/>
  <c r="AL22" i="2"/>
  <c r="AJ57" i="2"/>
  <c r="AJ56" i="2"/>
  <c r="AE21" i="5"/>
  <c r="AE20" i="5"/>
  <c r="AE18" i="5"/>
  <c r="AE17" i="5"/>
  <c r="AE12" i="5"/>
  <c r="AE11" i="5"/>
  <c r="AE6" i="5"/>
  <c r="AE5" i="5"/>
  <c r="AD28" i="4"/>
  <c r="AD27" i="4"/>
  <c r="AD26" i="4"/>
  <c r="AD25" i="4"/>
  <c r="AD13" i="4"/>
  <c r="AD23" i="4" s="1"/>
  <c r="AD12" i="4"/>
  <c r="AD22" i="4" s="1"/>
  <c r="AD11" i="4"/>
  <c r="AD21" i="4" s="1"/>
  <c r="AD10" i="4"/>
  <c r="AD20" i="4" s="1"/>
  <c r="AD7" i="4"/>
  <c r="AD6" i="4"/>
  <c r="AD5" i="4"/>
  <c r="AD4" i="4"/>
  <c r="AD8" i="4" s="1"/>
  <c r="AK76" i="2"/>
  <c r="AK78" i="2"/>
  <c r="AK77" i="2"/>
  <c r="AK79" i="2"/>
  <c r="AK43" i="2"/>
  <c r="AK53" i="2"/>
  <c r="AD43" i="4" s="1"/>
  <c r="AK52" i="2"/>
  <c r="AD42" i="4" s="1"/>
  <c r="AK51" i="2"/>
  <c r="AD41" i="4" s="1"/>
  <c r="AK50" i="2"/>
  <c r="AK38" i="2"/>
  <c r="AK34" i="2"/>
  <c r="AE15" i="5" s="1"/>
  <c r="AK22" i="2"/>
  <c r="AK33" i="2"/>
  <c r="AE14" i="5" s="1"/>
  <c r="AN15" i="2"/>
  <c r="AN91" i="2" s="1"/>
  <c r="AM15" i="2"/>
  <c r="AL15" i="2"/>
  <c r="AL91" i="2" s="1"/>
  <c r="AK15" i="2"/>
  <c r="AN9" i="2"/>
  <c r="AM9" i="2"/>
  <c r="AM17" i="2" s="1"/>
  <c r="AL9" i="2"/>
  <c r="AK9" i="2"/>
  <c r="AK17" i="2" s="1"/>
  <c r="AK18" i="2" s="1"/>
  <c r="AB6" i="4"/>
  <c r="AB7" i="4"/>
  <c r="AA6" i="4"/>
  <c r="AA7" i="4"/>
  <c r="Z6" i="4"/>
  <c r="Z7" i="4"/>
  <c r="Y6" i="4"/>
  <c r="Y7" i="4"/>
  <c r="AE8" i="4"/>
  <c r="AJ7" i="5"/>
  <c r="AJ9" i="5" s="1"/>
  <c r="AH7" i="5"/>
  <c r="AH9" i="5" s="1"/>
  <c r="AF7" i="5"/>
  <c r="AF9" i="5" s="1"/>
  <c r="AE7" i="5"/>
  <c r="AE9" i="5" s="1"/>
  <c r="L9" i="6"/>
  <c r="R9" i="6"/>
  <c r="W9" i="6"/>
  <c r="AB9" i="6"/>
  <c r="AI86" i="2"/>
  <c r="AC38" i="4"/>
  <c r="AC37" i="4"/>
  <c r="AC36" i="4"/>
  <c r="AC35" i="4"/>
  <c r="AC33" i="4"/>
  <c r="AC32" i="4"/>
  <c r="AC31" i="4"/>
  <c r="AC30" i="4"/>
  <c r="AC43" i="4"/>
  <c r="AC42" i="4"/>
  <c r="AC41" i="4"/>
  <c r="AC40" i="4"/>
  <c r="AC44" i="4" s="1"/>
  <c r="AC13" i="4"/>
  <c r="AC23" i="4" s="1"/>
  <c r="AC12" i="4"/>
  <c r="AC22" i="4" s="1"/>
  <c r="AC11" i="4"/>
  <c r="AC21" i="4" s="1"/>
  <c r="AC10" i="4"/>
  <c r="AC20" i="4" s="1"/>
  <c r="AC7" i="4"/>
  <c r="AC6" i="4"/>
  <c r="AC5" i="4"/>
  <c r="AC4" i="4"/>
  <c r="AC8" i="4" s="1"/>
  <c r="AD21" i="5"/>
  <c r="AD20" i="5"/>
  <c r="AD18" i="5"/>
  <c r="AD17" i="5"/>
  <c r="AD15" i="5"/>
  <c r="AD14" i="5"/>
  <c r="AD12" i="5"/>
  <c r="AD11" i="5"/>
  <c r="AD6" i="5"/>
  <c r="AD5" i="5"/>
  <c r="AD7" i="5" s="1"/>
  <c r="AD9" i="5" s="1"/>
  <c r="AC5" i="5"/>
  <c r="AC6" i="5"/>
  <c r="AC7" i="5"/>
  <c r="AC9" i="5"/>
  <c r="AC11" i="5"/>
  <c r="AC12" i="5"/>
  <c r="AC17" i="5"/>
  <c r="AC18" i="5"/>
  <c r="AC20" i="5"/>
  <c r="AC21" i="5"/>
  <c r="AB25" i="4"/>
  <c r="AB26" i="4"/>
  <c r="AB27" i="4"/>
  <c r="AB28" i="4"/>
  <c r="AB4" i="4"/>
  <c r="AB5" i="4"/>
  <c r="AB8" i="4"/>
  <c r="AB10" i="4"/>
  <c r="AB20" i="4" s="1"/>
  <c r="AB11" i="4"/>
  <c r="AB21" i="4" s="1"/>
  <c r="AB12" i="4"/>
  <c r="AB22" i="4" s="1"/>
  <c r="AB13" i="4"/>
  <c r="AB23" i="4" s="1"/>
  <c r="AJ54" i="2"/>
  <c r="AJ58" i="2" s="1"/>
  <c r="AJ38" i="2"/>
  <c r="AJ43" i="2"/>
  <c r="AJ27" i="2"/>
  <c r="AJ22" i="2"/>
  <c r="AI77" i="2"/>
  <c r="AI78" i="2"/>
  <c r="AI79" i="2"/>
  <c r="AI80" i="2"/>
  <c r="AI50" i="2"/>
  <c r="AB40" i="4" s="1"/>
  <c r="AI51" i="2"/>
  <c r="AB41" i="4" s="1"/>
  <c r="AI52" i="2"/>
  <c r="AB42" i="4" s="1"/>
  <c r="AI53" i="2"/>
  <c r="AB43" i="4" s="1"/>
  <c r="AI54" i="2"/>
  <c r="AI43" i="2"/>
  <c r="AI27" i="2"/>
  <c r="AI15" i="2"/>
  <c r="AI91" i="2" s="1"/>
  <c r="AI34" i="2"/>
  <c r="AC15" i="5" s="1"/>
  <c r="AI33" i="2"/>
  <c r="AC14" i="5" s="1"/>
  <c r="AI22" i="2"/>
  <c r="AI38" i="2"/>
  <c r="AI9" i="2"/>
  <c r="AJ9" i="2"/>
  <c r="AJ17" i="2" s="1"/>
  <c r="AJ15" i="2"/>
  <c r="AE12" i="2"/>
  <c r="AB5" i="5"/>
  <c r="AB6" i="5"/>
  <c r="AB7" i="5"/>
  <c r="AB9" i="5"/>
  <c r="AB11" i="5"/>
  <c r="AB12" i="5"/>
  <c r="AB17" i="5"/>
  <c r="AB18" i="5"/>
  <c r="AB20" i="5"/>
  <c r="AB21" i="5"/>
  <c r="AA28" i="4"/>
  <c r="AA27" i="4"/>
  <c r="AA26" i="4"/>
  <c r="AA25" i="4"/>
  <c r="AA4" i="4"/>
  <c r="AA5" i="4"/>
  <c r="AA8" i="4"/>
  <c r="AA10" i="4"/>
  <c r="AA20" i="4" s="1"/>
  <c r="AA11" i="4"/>
  <c r="AA21" i="4" s="1"/>
  <c r="AA12" i="4"/>
  <c r="AA22" i="4" s="1"/>
  <c r="AA13" i="4"/>
  <c r="AA23" i="4" s="1"/>
  <c r="AH79" i="2"/>
  <c r="AH15" i="2"/>
  <c r="AH43" i="2"/>
  <c r="AH53" i="2"/>
  <c r="AA43" i="4" s="1"/>
  <c r="AH52" i="2"/>
  <c r="AA42" i="4" s="1"/>
  <c r="AH51" i="2"/>
  <c r="AA41" i="4" s="1"/>
  <c r="AH50" i="2"/>
  <c r="AH38" i="2"/>
  <c r="AH34" i="2"/>
  <c r="AB15" i="5" s="1"/>
  <c r="AH33" i="2"/>
  <c r="AB14" i="5" s="1"/>
  <c r="AH27" i="2"/>
  <c r="AH22" i="2"/>
  <c r="AH9" i="2"/>
  <c r="AH17" i="2"/>
  <c r="AH18" i="2" s="1"/>
  <c r="AG86" i="2"/>
  <c r="AE6" i="2"/>
  <c r="AA5" i="5"/>
  <c r="AA6" i="5"/>
  <c r="AA7" i="5"/>
  <c r="AA9" i="5"/>
  <c r="AA11" i="5"/>
  <c r="AA12" i="5"/>
  <c r="AA17" i="5"/>
  <c r="AA18" i="5"/>
  <c r="AA20" i="5"/>
  <c r="AA21" i="5"/>
  <c r="Z25" i="4"/>
  <c r="Z26" i="4"/>
  <c r="Z27" i="4"/>
  <c r="Z28" i="4"/>
  <c r="Z4" i="4"/>
  <c r="Z5" i="4"/>
  <c r="Z8" i="4"/>
  <c r="Z10" i="4"/>
  <c r="Z20" i="4" s="1"/>
  <c r="Z11" i="4"/>
  <c r="Z21" i="4" s="1"/>
  <c r="Z12" i="4"/>
  <c r="Z22" i="4" s="1"/>
  <c r="Z13" i="4"/>
  <c r="Z23" i="4" s="1"/>
  <c r="AG79" i="2"/>
  <c r="AG43" i="2"/>
  <c r="AG53" i="2"/>
  <c r="Z43" i="4" s="1"/>
  <c r="AG52" i="2"/>
  <c r="Z42" i="4" s="1"/>
  <c r="AG51" i="2"/>
  <c r="Z41" i="4" s="1"/>
  <c r="AG50" i="2"/>
  <c r="AG38" i="2"/>
  <c r="AG34" i="2"/>
  <c r="AA15" i="5" s="1"/>
  <c r="AG33" i="2"/>
  <c r="AA14" i="5" s="1"/>
  <c r="AG27" i="2"/>
  <c r="AG22" i="2"/>
  <c r="AG15" i="2"/>
  <c r="AG91" i="2" s="1"/>
  <c r="AG9" i="2"/>
  <c r="Z21" i="5"/>
  <c r="Z20" i="5"/>
  <c r="Z18" i="5"/>
  <c r="Z17" i="5"/>
  <c r="Z12" i="5"/>
  <c r="Z11" i="5"/>
  <c r="Z6" i="5"/>
  <c r="Z5" i="5"/>
  <c r="Z7" i="5" s="1"/>
  <c r="Z9" i="5" s="1"/>
  <c r="Y28" i="4"/>
  <c r="AC28" i="4" s="1"/>
  <c r="Y27" i="4"/>
  <c r="AC27" i="4" s="1"/>
  <c r="Y26" i="4"/>
  <c r="AC26" i="4" s="1"/>
  <c r="Y25" i="4"/>
  <c r="AC25" i="4" s="1"/>
  <c r="Y13" i="4"/>
  <c r="Y23" i="4" s="1"/>
  <c r="Y12" i="4"/>
  <c r="Y22" i="4" s="1"/>
  <c r="Y11" i="4"/>
  <c r="Y21" i="4" s="1"/>
  <c r="Y10" i="4"/>
  <c r="Y20" i="4" s="1"/>
  <c r="Y5" i="4"/>
  <c r="Y4" i="4"/>
  <c r="Y8" i="4" s="1"/>
  <c r="AF79" i="2"/>
  <c r="AF53" i="2"/>
  <c r="Y43" i="4" s="1"/>
  <c r="AF52" i="2"/>
  <c r="Y42" i="4" s="1"/>
  <c r="AF51" i="2"/>
  <c r="Y41" i="4" s="1"/>
  <c r="AF50" i="2"/>
  <c r="AF43" i="2"/>
  <c r="AF27" i="2"/>
  <c r="AF15" i="2"/>
  <c r="AF38" i="2"/>
  <c r="AF22" i="2"/>
  <c r="AF9" i="2"/>
  <c r="AF34" i="2"/>
  <c r="Z15" i="5" s="1"/>
  <c r="AB33" i="2"/>
  <c r="AC33" i="2"/>
  <c r="AD33" i="2"/>
  <c r="AB34" i="2"/>
  <c r="AC34" i="2"/>
  <c r="AD34" i="2"/>
  <c r="AA34" i="2"/>
  <c r="AA33" i="2"/>
  <c r="AF33" i="2"/>
  <c r="Z14" i="5" s="1"/>
  <c r="AF17" i="2"/>
  <c r="AF18" i="2" s="1"/>
  <c r="AD86" i="2"/>
  <c r="X38" i="4"/>
  <c r="X37" i="4"/>
  <c r="X36" i="4"/>
  <c r="X35" i="4"/>
  <c r="X33" i="4"/>
  <c r="X32" i="4"/>
  <c r="X31" i="4"/>
  <c r="X30" i="4"/>
  <c r="Y21" i="5"/>
  <c r="Y20" i="5"/>
  <c r="T21" i="5"/>
  <c r="T20" i="5"/>
  <c r="Y18" i="5"/>
  <c r="Y17" i="5"/>
  <c r="T18" i="5"/>
  <c r="T17" i="5"/>
  <c r="Y15" i="5"/>
  <c r="Y14" i="5"/>
  <c r="T15" i="5"/>
  <c r="T14" i="5"/>
  <c r="Y12" i="5"/>
  <c r="Y11" i="5"/>
  <c r="T12" i="5"/>
  <c r="T11" i="5"/>
  <c r="Y6" i="5"/>
  <c r="Y5" i="5"/>
  <c r="Y7" i="5" s="1"/>
  <c r="Y9" i="5" s="1"/>
  <c r="T6" i="5"/>
  <c r="T5" i="5"/>
  <c r="T7" i="5" s="1"/>
  <c r="T9" i="5" s="1"/>
  <c r="X21" i="5"/>
  <c r="X20" i="5"/>
  <c r="X18" i="5"/>
  <c r="X17" i="5"/>
  <c r="X12" i="5"/>
  <c r="X11" i="5"/>
  <c r="X6" i="5"/>
  <c r="X5" i="5"/>
  <c r="X7" i="5" s="1"/>
  <c r="X9" i="5" s="1"/>
  <c r="W49" i="4"/>
  <c r="W48" i="4"/>
  <c r="W47" i="4"/>
  <c r="W46" i="4"/>
  <c r="X43" i="4"/>
  <c r="X42" i="4"/>
  <c r="X41" i="4"/>
  <c r="X40" i="4"/>
  <c r="X44" i="4" s="1"/>
  <c r="X13" i="4"/>
  <c r="X23" i="4" s="1"/>
  <c r="X12" i="4"/>
  <c r="X22" i="4" s="1"/>
  <c r="X11" i="4"/>
  <c r="X21" i="4" s="1"/>
  <c r="X10" i="4"/>
  <c r="X20" i="4" s="1"/>
  <c r="X7" i="4"/>
  <c r="X6" i="4"/>
  <c r="X5" i="4"/>
  <c r="X4" i="4"/>
  <c r="X8" i="4" s="1"/>
  <c r="W13" i="4"/>
  <c r="W23" i="4" s="1"/>
  <c r="W12" i="4"/>
  <c r="W22" i="4" s="1"/>
  <c r="W11" i="4"/>
  <c r="W21" i="4" s="1"/>
  <c r="W10" i="4"/>
  <c r="W20" i="4" s="1"/>
  <c r="W5" i="4"/>
  <c r="W4" i="4"/>
  <c r="W8" i="4" s="1"/>
  <c r="J38" i="2"/>
  <c r="O38" i="2"/>
  <c r="T38" i="2"/>
  <c r="AE38" i="2"/>
  <c r="AD79" i="2"/>
  <c r="AD80" i="2"/>
  <c r="AE27" i="2"/>
  <c r="AE43" i="2"/>
  <c r="J43" i="2"/>
  <c r="O43" i="2"/>
  <c r="T43" i="2"/>
  <c r="Z43" i="2"/>
  <c r="AE15" i="2"/>
  <c r="AE54" i="2"/>
  <c r="AE58" i="2" s="1"/>
  <c r="AE22" i="2"/>
  <c r="AE9" i="2"/>
  <c r="AE17" i="2" s="1"/>
  <c r="AE18" i="2" s="1"/>
  <c r="AD27" i="2"/>
  <c r="AD22" i="2"/>
  <c r="AD43" i="2"/>
  <c r="AD15" i="2"/>
  <c r="Z56" i="2"/>
  <c r="AD53" i="2"/>
  <c r="W43" i="4" s="1"/>
  <c r="AD52" i="2"/>
  <c r="W42" i="4" s="1"/>
  <c r="AD51" i="2"/>
  <c r="W41" i="4" s="1"/>
  <c r="AD50" i="2"/>
  <c r="AD38" i="2"/>
  <c r="X14" i="5"/>
  <c r="AD9" i="2"/>
  <c r="X15" i="5" s="1"/>
  <c r="AD17" i="2"/>
  <c r="AD18" i="2" s="1"/>
  <c r="AD100" i="2" s="1"/>
  <c r="W21" i="5"/>
  <c r="W20" i="5"/>
  <c r="W18" i="5"/>
  <c r="W17" i="5"/>
  <c r="W12" i="5"/>
  <c r="W11" i="5"/>
  <c r="W6" i="5"/>
  <c r="W5" i="5"/>
  <c r="W7" i="5" s="1"/>
  <c r="W9" i="5" s="1"/>
  <c r="V49" i="4"/>
  <c r="V48" i="4"/>
  <c r="V47" i="4"/>
  <c r="V46" i="4"/>
  <c r="V13" i="4"/>
  <c r="V23" i="4" s="1"/>
  <c r="V12" i="4"/>
  <c r="V22" i="4" s="1"/>
  <c r="V11" i="4"/>
  <c r="V21" i="4" s="1"/>
  <c r="V10" i="4"/>
  <c r="V20" i="4" s="1"/>
  <c r="V5" i="4"/>
  <c r="V4" i="4"/>
  <c r="V8" i="4" s="1"/>
  <c r="AC79" i="2"/>
  <c r="AC43" i="2"/>
  <c r="AB43" i="2"/>
  <c r="AA43" i="2"/>
  <c r="AC27" i="2"/>
  <c r="W14" i="5"/>
  <c r="AC53" i="2"/>
  <c r="V43" i="4" s="1"/>
  <c r="AC52" i="2"/>
  <c r="V42" i="4" s="1"/>
  <c r="AC51" i="2"/>
  <c r="V41" i="4" s="1"/>
  <c r="AC50" i="2"/>
  <c r="AC15" i="2"/>
  <c r="AC22" i="2"/>
  <c r="AC38" i="2"/>
  <c r="AC9" i="2"/>
  <c r="AB86" i="2"/>
  <c r="Y90" i="2"/>
  <c r="U86" i="2"/>
  <c r="W86" i="2"/>
  <c r="Y86" i="2"/>
  <c r="V5" i="5"/>
  <c r="V6" i="5"/>
  <c r="V7" i="5"/>
  <c r="V9" i="5"/>
  <c r="V11" i="5"/>
  <c r="V12" i="5"/>
  <c r="V17" i="5"/>
  <c r="V18" i="5"/>
  <c r="V20" i="5"/>
  <c r="V21" i="5"/>
  <c r="U46" i="4"/>
  <c r="U47" i="4"/>
  <c r="U48" i="4"/>
  <c r="U49" i="4"/>
  <c r="U4" i="4"/>
  <c r="U5" i="4"/>
  <c r="U8" i="4"/>
  <c r="U10" i="4"/>
  <c r="U11" i="4"/>
  <c r="U12" i="4"/>
  <c r="U13" i="4"/>
  <c r="U20" i="4"/>
  <c r="U21" i="4"/>
  <c r="U22" i="4"/>
  <c r="U23" i="4"/>
  <c r="AB79" i="2"/>
  <c r="AB80" i="2"/>
  <c r="AB51" i="2"/>
  <c r="U41" i="4" s="1"/>
  <c r="AB52" i="2"/>
  <c r="U42" i="4" s="1"/>
  <c r="AB53" i="2"/>
  <c r="U43" i="4" s="1"/>
  <c r="AB50" i="2"/>
  <c r="AB27" i="2"/>
  <c r="V14" i="5"/>
  <c r="AB22" i="2"/>
  <c r="AB38" i="2"/>
  <c r="AB15" i="2"/>
  <c r="AB9" i="2"/>
  <c r="U25" i="4"/>
  <c r="V25" i="4"/>
  <c r="W25" i="4"/>
  <c r="U26" i="4"/>
  <c r="V26" i="4"/>
  <c r="W26" i="4"/>
  <c r="U27" i="4"/>
  <c r="V27" i="4"/>
  <c r="W27" i="4"/>
  <c r="U28" i="4"/>
  <c r="V28" i="4"/>
  <c r="W28" i="4"/>
  <c r="T26" i="4"/>
  <c r="X26" i="4" s="1"/>
  <c r="T27" i="4"/>
  <c r="X27" i="4" s="1"/>
  <c r="T28" i="4"/>
  <c r="X28" i="4" s="1"/>
  <c r="T25" i="4"/>
  <c r="X25" i="4" s="1"/>
  <c r="Z57" i="2"/>
  <c r="AA38" i="2"/>
  <c r="Z38" i="2"/>
  <c r="S38" i="4"/>
  <c r="S37" i="4"/>
  <c r="S36" i="4"/>
  <c r="S35" i="4"/>
  <c r="S31" i="4"/>
  <c r="S32" i="4"/>
  <c r="S33" i="4"/>
  <c r="S30" i="4"/>
  <c r="S43" i="4"/>
  <c r="S42" i="4"/>
  <c r="S41" i="4"/>
  <c r="S40" i="4"/>
  <c r="S44" i="4" s="1"/>
  <c r="S7" i="4"/>
  <c r="S6" i="4"/>
  <c r="S5" i="4"/>
  <c r="S4" i="4"/>
  <c r="S8" i="4" s="1"/>
  <c r="S13" i="4"/>
  <c r="S23" i="4" s="1"/>
  <c r="S12" i="4"/>
  <c r="S22" i="4" s="1"/>
  <c r="S11" i="4"/>
  <c r="S21" i="4" s="1"/>
  <c r="S10" i="4"/>
  <c r="S20" i="4" s="1"/>
  <c r="U21" i="5"/>
  <c r="U20" i="5"/>
  <c r="U18" i="5"/>
  <c r="U17" i="5"/>
  <c r="U12" i="5"/>
  <c r="U11" i="5"/>
  <c r="U6" i="5"/>
  <c r="U5" i="5"/>
  <c r="U7" i="5" s="1"/>
  <c r="U9" i="5" s="1"/>
  <c r="T49" i="4"/>
  <c r="T48" i="4"/>
  <c r="T47" i="4"/>
  <c r="T46" i="4"/>
  <c r="T13" i="4"/>
  <c r="T23" i="4" s="1"/>
  <c r="T12" i="4"/>
  <c r="T22" i="4" s="1"/>
  <c r="T11" i="4"/>
  <c r="T21" i="4" s="1"/>
  <c r="T10" i="4"/>
  <c r="T20" i="4" s="1"/>
  <c r="T5" i="4"/>
  <c r="T4" i="4"/>
  <c r="T8" i="4" s="1"/>
  <c r="AA79" i="2"/>
  <c r="AA80" i="2"/>
  <c r="AA53" i="2"/>
  <c r="T43" i="4" s="1"/>
  <c r="AA52" i="2"/>
  <c r="T42" i="4" s="1"/>
  <c r="AA51" i="2"/>
  <c r="T41" i="4" s="1"/>
  <c r="AA50" i="2"/>
  <c r="AA27" i="2"/>
  <c r="AA22" i="2"/>
  <c r="U14" i="5"/>
  <c r="F5" i="7"/>
  <c r="F6" i="7"/>
  <c r="F7" i="7"/>
  <c r="F8" i="7"/>
  <c r="F9" i="7"/>
  <c r="F10" i="7"/>
  <c r="F11" i="7"/>
  <c r="F12" i="7"/>
  <c r="F15" i="7"/>
  <c r="F16" i="7"/>
  <c r="F17" i="7"/>
  <c r="F18" i="7"/>
  <c r="F21" i="7"/>
  <c r="F22" i="7"/>
  <c r="F23" i="7"/>
  <c r="F24" i="7"/>
  <c r="F25" i="7"/>
  <c r="F26" i="7"/>
  <c r="F27" i="7"/>
  <c r="F28" i="7"/>
  <c r="F29" i="7"/>
  <c r="F30" i="7"/>
  <c r="F32" i="7"/>
  <c r="F33" i="7"/>
  <c r="F34" i="7"/>
  <c r="F35" i="7"/>
  <c r="F36" i="7"/>
  <c r="F37" i="7"/>
  <c r="F39" i="7"/>
  <c r="F4" i="7"/>
  <c r="Z22" i="2"/>
  <c r="Z54" i="2"/>
  <c r="Z27" i="2"/>
  <c r="Z15" i="2"/>
  <c r="Z9" i="2"/>
  <c r="Z17" i="2" s="1"/>
  <c r="Z18" i="2" s="1"/>
  <c r="Z5" i="2"/>
  <c r="S20" i="5"/>
  <c r="S21" i="5"/>
  <c r="R46" i="4"/>
  <c r="R47" i="4"/>
  <c r="R48" i="4"/>
  <c r="R49" i="4"/>
  <c r="R10" i="4"/>
  <c r="R11" i="4"/>
  <c r="R12" i="4"/>
  <c r="R13" i="4"/>
  <c r="R20" i="4"/>
  <c r="R21" i="4"/>
  <c r="R22" i="4"/>
  <c r="R23" i="4"/>
  <c r="R4" i="4"/>
  <c r="R5" i="4"/>
  <c r="R8" i="4"/>
  <c r="Y79" i="2"/>
  <c r="Y80" i="2"/>
  <c r="Y50" i="2"/>
  <c r="R40" i="4" s="1"/>
  <c r="Y51" i="2"/>
  <c r="R41" i="4" s="1"/>
  <c r="Y52" i="2"/>
  <c r="R42" i="4" s="1"/>
  <c r="Y53" i="2"/>
  <c r="R43" i="4" s="1"/>
  <c r="Y54" i="2"/>
  <c r="Y27" i="2"/>
  <c r="Y33" i="2"/>
  <c r="S14" i="5" s="1"/>
  <c r="Y22" i="2"/>
  <c r="Q4" i="4"/>
  <c r="P4" i="4"/>
  <c r="O4" i="4"/>
  <c r="N25" i="4"/>
  <c r="O25" i="4"/>
  <c r="P25" i="4"/>
  <c r="N26" i="4"/>
  <c r="O26" i="4"/>
  <c r="P26" i="4"/>
  <c r="N27" i="4"/>
  <c r="O27" i="4"/>
  <c r="P27" i="4"/>
  <c r="N28" i="4"/>
  <c r="O28" i="4"/>
  <c r="P28" i="4"/>
  <c r="R25" i="4"/>
  <c r="R26" i="4"/>
  <c r="R27" i="4"/>
  <c r="R28" i="4"/>
  <c r="Q26" i="4"/>
  <c r="Q27" i="4"/>
  <c r="Q28" i="4"/>
  <c r="Q25" i="4"/>
  <c r="R20" i="5"/>
  <c r="R21" i="5"/>
  <c r="Q46" i="4"/>
  <c r="Q47" i="4"/>
  <c r="Q48" i="4"/>
  <c r="Q49" i="4"/>
  <c r="Q10" i="4"/>
  <c r="Q20" i="4" s="1"/>
  <c r="Q11" i="4"/>
  <c r="Q21" i="4" s="1"/>
  <c r="Q12" i="4"/>
  <c r="Q22" i="4" s="1"/>
  <c r="Q13" i="4"/>
  <c r="Q23" i="4" s="1"/>
  <c r="Q5" i="4"/>
  <c r="Q8" i="4" s="1"/>
  <c r="X80" i="2"/>
  <c r="X50" i="2"/>
  <c r="Q40" i="4" s="1"/>
  <c r="X51" i="2"/>
  <c r="Q41" i="4" s="1"/>
  <c r="X52" i="2"/>
  <c r="Q42" i="4" s="1"/>
  <c r="X53" i="2"/>
  <c r="Q43" i="4" s="1"/>
  <c r="X54" i="2"/>
  <c r="X33" i="2"/>
  <c r="R14" i="5" s="1"/>
  <c r="X27" i="2"/>
  <c r="X22" i="2"/>
  <c r="W22" i="2"/>
  <c r="O26" i="6"/>
  <c r="BQ2" i="6"/>
  <c r="BR2" i="6"/>
  <c r="BS2" i="6"/>
  <c r="BT2" i="6"/>
  <c r="BU2" i="6"/>
  <c r="BV2" i="6"/>
  <c r="BW2" i="6"/>
  <c r="BX2" i="6"/>
  <c r="BY2" i="6"/>
  <c r="BZ2" i="6"/>
  <c r="CA2" i="6"/>
  <c r="CB2" i="6"/>
  <c r="CC2" i="6"/>
  <c r="CD2" i="6"/>
  <c r="CE2" i="6"/>
  <c r="CF2" i="6"/>
  <c r="CG2" i="6"/>
  <c r="CH2" i="6"/>
  <c r="CI2" i="6"/>
  <c r="CJ2" i="6"/>
  <c r="CK2" i="6"/>
  <c r="CL2" i="6"/>
  <c r="CM2" i="6"/>
  <c r="CN2" i="6"/>
  <c r="CO2" i="6"/>
  <c r="CP2" i="6"/>
  <c r="CQ2" i="6"/>
  <c r="CR2" i="6"/>
  <c r="CS2" i="6"/>
  <c r="CT2" i="6"/>
  <c r="CU2" i="6"/>
  <c r="CV2" i="6"/>
  <c r="CW2" i="6"/>
  <c r="CX2" i="6"/>
  <c r="CY2" i="6"/>
  <c r="CZ2" i="6"/>
  <c r="DA2" i="6"/>
  <c r="DB2" i="6"/>
  <c r="DC2" i="6"/>
  <c r="DD2" i="6"/>
  <c r="DE2" i="6"/>
  <c r="Q21" i="5"/>
  <c r="Q20" i="5"/>
  <c r="M76" i="4"/>
  <c r="M84" i="4"/>
  <c r="M79" i="4"/>
  <c r="M74" i="4"/>
  <c r="M83" i="4"/>
  <c r="M78" i="4"/>
  <c r="M73" i="4"/>
  <c r="P46" i="4"/>
  <c r="P47" i="4"/>
  <c r="P48" i="4"/>
  <c r="P49" i="4"/>
  <c r="P6" i="4"/>
  <c r="P8" i="4"/>
  <c r="P10" i="4"/>
  <c r="P20" i="4" s="1"/>
  <c r="P11" i="4"/>
  <c r="P21" i="4" s="1"/>
  <c r="P12" i="4"/>
  <c r="P22" i="4" s="1"/>
  <c r="P13" i="4"/>
  <c r="P23" i="4" s="1"/>
  <c r="W79" i="2"/>
  <c r="W80" i="2"/>
  <c r="W50" i="2"/>
  <c r="P40" i="4" s="1"/>
  <c r="W51" i="2"/>
  <c r="P41" i="4" s="1"/>
  <c r="W52" i="2"/>
  <c r="P42" i="4" s="1"/>
  <c r="W53" i="2"/>
  <c r="P43" i="4" s="1"/>
  <c r="W54" i="2"/>
  <c r="W27" i="2"/>
  <c r="W33" i="2"/>
  <c r="Q14" i="5" s="1"/>
  <c r="P22" i="2"/>
  <c r="V27" i="2"/>
  <c r="V79" i="2"/>
  <c r="V80" i="2"/>
  <c r="P20" i="5"/>
  <c r="P21" i="5"/>
  <c r="O46" i="4"/>
  <c r="O47" i="4"/>
  <c r="O48" i="4"/>
  <c r="O49" i="4"/>
  <c r="O5" i="4"/>
  <c r="O10" i="4"/>
  <c r="O11" i="4"/>
  <c r="O12" i="4"/>
  <c r="O13" i="4"/>
  <c r="O20" i="4"/>
  <c r="O21" i="4"/>
  <c r="O22" i="4"/>
  <c r="O23" i="4"/>
  <c r="V53" i="2"/>
  <c r="O43" i="4" s="1"/>
  <c r="V52" i="2"/>
  <c r="O42" i="4" s="1"/>
  <c r="V51" i="2"/>
  <c r="O41" i="4" s="1"/>
  <c r="V50" i="2"/>
  <c r="O40" i="4" s="1"/>
  <c r="O44" i="4" s="1"/>
  <c r="V33" i="2"/>
  <c r="P14" i="5" s="1"/>
  <c r="Q22" i="2"/>
  <c r="R22" i="2"/>
  <c r="V54" i="2"/>
  <c r="V22" i="2"/>
  <c r="R34" i="2"/>
  <c r="J6" i="2"/>
  <c r="O6" i="2"/>
  <c r="T6" i="2"/>
  <c r="T57" i="2"/>
  <c r="T56" i="2"/>
  <c r="U77" i="2"/>
  <c r="U79" i="2"/>
  <c r="U80" i="2"/>
  <c r="O21" i="5"/>
  <c r="O20" i="5"/>
  <c r="N46" i="4"/>
  <c r="N47" i="4"/>
  <c r="N48" i="4"/>
  <c r="N49" i="4"/>
  <c r="N10" i="4"/>
  <c r="N20" i="4" s="1"/>
  <c r="N11" i="4"/>
  <c r="N21" i="4" s="1"/>
  <c r="N12" i="4"/>
  <c r="N22" i="4" s="1"/>
  <c r="N13" i="4"/>
  <c r="N23" i="4" s="1"/>
  <c r="N4" i="4"/>
  <c r="N5" i="4"/>
  <c r="N6" i="4"/>
  <c r="U53" i="2"/>
  <c r="N43" i="4" s="1"/>
  <c r="U52" i="2"/>
  <c r="N42" i="4" s="1"/>
  <c r="U51" i="2"/>
  <c r="N41" i="4" s="1"/>
  <c r="U50" i="2"/>
  <c r="U34" i="2"/>
  <c r="O15" i="5" s="1"/>
  <c r="U33" i="2"/>
  <c r="O14" i="5" s="1"/>
  <c r="U27" i="2"/>
  <c r="U22" i="2"/>
  <c r="T22" i="2"/>
  <c r="S22" i="2"/>
  <c r="N21" i="5"/>
  <c r="N20" i="5"/>
  <c r="N12" i="5"/>
  <c r="N11" i="5"/>
  <c r="N6" i="5"/>
  <c r="N5" i="5"/>
  <c r="N7" i="5" s="1"/>
  <c r="N9" i="5" s="1"/>
  <c r="M41" i="4"/>
  <c r="M42" i="4"/>
  <c r="M43" i="4"/>
  <c r="M40" i="4"/>
  <c r="M44" i="4" s="1"/>
  <c r="M38" i="4"/>
  <c r="M37" i="4"/>
  <c r="M36" i="4"/>
  <c r="M35" i="4"/>
  <c r="M31" i="4"/>
  <c r="M32" i="4"/>
  <c r="M33" i="4"/>
  <c r="M30" i="4"/>
  <c r="M11" i="4"/>
  <c r="M21" i="4" s="1"/>
  <c r="M12" i="4"/>
  <c r="M22" i="4" s="1"/>
  <c r="M13" i="4"/>
  <c r="M23" i="4" s="1"/>
  <c r="M10" i="4"/>
  <c r="M20" i="4" s="1"/>
  <c r="M5" i="4"/>
  <c r="M6" i="4"/>
  <c r="M7" i="4"/>
  <c r="M4" i="4"/>
  <c r="M8" i="4" s="1"/>
  <c r="T54" i="2"/>
  <c r="T58" i="2" s="1"/>
  <c r="T27" i="2"/>
  <c r="T15" i="2"/>
  <c r="T9" i="2"/>
  <c r="T17" i="2"/>
  <c r="T18" i="2" s="1"/>
  <c r="S79" i="2"/>
  <c r="S77" i="2"/>
  <c r="S80" i="2" s="1"/>
  <c r="M21" i="5"/>
  <c r="M20" i="5"/>
  <c r="L49" i="4"/>
  <c r="L48" i="4"/>
  <c r="L47" i="4"/>
  <c r="L46" i="4"/>
  <c r="L13" i="4"/>
  <c r="L23" i="4" s="1"/>
  <c r="L12" i="4"/>
  <c r="L22" i="4" s="1"/>
  <c r="L11" i="4"/>
  <c r="L21" i="4" s="1"/>
  <c r="L10" i="4"/>
  <c r="L20" i="4" s="1"/>
  <c r="L7" i="4"/>
  <c r="L6" i="4"/>
  <c r="L5" i="4"/>
  <c r="L4" i="4"/>
  <c r="L8" i="4" s="1"/>
  <c r="S34" i="2"/>
  <c r="M15" i="5" s="1"/>
  <c r="S33" i="2"/>
  <c r="M14" i="5" s="1"/>
  <c r="S27" i="2"/>
  <c r="S50" i="2"/>
  <c r="L40" i="4" s="1"/>
  <c r="S51" i="2"/>
  <c r="L41" i="4" s="1"/>
  <c r="S52" i="2"/>
  <c r="L42" i="4" s="1"/>
  <c r="S53" i="2"/>
  <c r="R79" i="2"/>
  <c r="R80" i="2" s="1"/>
  <c r="R53" i="2"/>
  <c r="R52" i="2"/>
  <c r="R51" i="2"/>
  <c r="R50" i="2"/>
  <c r="L20" i="5"/>
  <c r="L21" i="5"/>
  <c r="K40" i="4"/>
  <c r="K41" i="4"/>
  <c r="K42" i="4"/>
  <c r="K43" i="4"/>
  <c r="K46" i="4"/>
  <c r="K47" i="4"/>
  <c r="K48" i="4"/>
  <c r="K49" i="4"/>
  <c r="K4" i="4"/>
  <c r="K5" i="4"/>
  <c r="K6" i="4"/>
  <c r="K7" i="4"/>
  <c r="K8" i="4"/>
  <c r="K10" i="4"/>
  <c r="K20" i="4" s="1"/>
  <c r="K11" i="4"/>
  <c r="K21" i="4" s="1"/>
  <c r="K12" i="4"/>
  <c r="K22" i="4" s="1"/>
  <c r="K13" i="4"/>
  <c r="K23" i="4" s="1"/>
  <c r="L15" i="5"/>
  <c r="R33" i="2"/>
  <c r="L14" i="5" s="1"/>
  <c r="R54" i="2"/>
  <c r="R27" i="2"/>
  <c r="K20" i="5"/>
  <c r="K21" i="5"/>
  <c r="Q80" i="2"/>
  <c r="J46" i="4"/>
  <c r="J47" i="4"/>
  <c r="J48" i="4"/>
  <c r="J49" i="4"/>
  <c r="J4" i="4"/>
  <c r="J5" i="4"/>
  <c r="J6" i="4"/>
  <c r="J7" i="4"/>
  <c r="J8" i="4"/>
  <c r="J10" i="4"/>
  <c r="J11" i="4"/>
  <c r="J21" i="4" s="1"/>
  <c r="J12" i="4"/>
  <c r="J22" i="4" s="1"/>
  <c r="J13" i="4"/>
  <c r="J23" i="4" s="1"/>
  <c r="J20" i="4"/>
  <c r="Q53" i="2"/>
  <c r="J43" i="4" s="1"/>
  <c r="Q52" i="2"/>
  <c r="J42" i="4" s="1"/>
  <c r="Q51" i="2"/>
  <c r="J41" i="4" s="1"/>
  <c r="Q50" i="2"/>
  <c r="Q54" i="2" s="1"/>
  <c r="C27" i="2"/>
  <c r="Q27" i="2"/>
  <c r="P27" i="2"/>
  <c r="Q34" i="2"/>
  <c r="K15" i="5" s="1"/>
  <c r="Q33" i="2"/>
  <c r="K14" i="5" s="1"/>
  <c r="P34" i="2"/>
  <c r="P33" i="2"/>
  <c r="I27" i="2"/>
  <c r="J27" i="2"/>
  <c r="K27" i="2"/>
  <c r="L27" i="2"/>
  <c r="M27" i="2"/>
  <c r="N27" i="2"/>
  <c r="O27" i="2"/>
  <c r="H27" i="2"/>
  <c r="F57" i="2"/>
  <c r="F56" i="2"/>
  <c r="H57" i="2"/>
  <c r="H56" i="2"/>
  <c r="O57" i="2"/>
  <c r="O56" i="2"/>
  <c r="I5" i="5"/>
  <c r="I6" i="5"/>
  <c r="I7" i="5"/>
  <c r="I9" i="5"/>
  <c r="I12" i="5"/>
  <c r="I20" i="5"/>
  <c r="I21" i="5"/>
  <c r="H38" i="4"/>
  <c r="H37" i="4"/>
  <c r="H36" i="4"/>
  <c r="H35" i="4"/>
  <c r="H33" i="4"/>
  <c r="H32" i="4"/>
  <c r="H31" i="4"/>
  <c r="H30" i="4"/>
  <c r="H16" i="4"/>
  <c r="H17" i="4"/>
  <c r="H18" i="4"/>
  <c r="H15" i="4"/>
  <c r="H4" i="4"/>
  <c r="H5" i="4"/>
  <c r="H6" i="4"/>
  <c r="H7" i="4"/>
  <c r="H8" i="4"/>
  <c r="H10" i="4"/>
  <c r="H11" i="4"/>
  <c r="H12" i="4"/>
  <c r="H13" i="4"/>
  <c r="H20" i="4"/>
  <c r="H21" i="4"/>
  <c r="H22" i="4"/>
  <c r="H23" i="4"/>
  <c r="P79" i="2"/>
  <c r="N79" i="2"/>
  <c r="L79" i="2"/>
  <c r="K79" i="2"/>
  <c r="N69" i="2"/>
  <c r="G51" i="4" s="1"/>
  <c r="N68" i="2"/>
  <c r="L71" i="2"/>
  <c r="E53" i="4" s="1"/>
  <c r="M69" i="2"/>
  <c r="F51" i="4" s="1"/>
  <c r="L69" i="2"/>
  <c r="E51" i="4" s="1"/>
  <c r="M68" i="2"/>
  <c r="L68" i="2"/>
  <c r="K68" i="2"/>
  <c r="N53" i="2"/>
  <c r="N52" i="2"/>
  <c r="N51" i="2"/>
  <c r="N50" i="2"/>
  <c r="M53" i="2"/>
  <c r="L53" i="2"/>
  <c r="K53" i="2"/>
  <c r="M52" i="2"/>
  <c r="L52" i="2"/>
  <c r="K52" i="2"/>
  <c r="M51" i="2"/>
  <c r="L51" i="2"/>
  <c r="K51" i="2"/>
  <c r="M50" i="2"/>
  <c r="L50" i="2"/>
  <c r="K50" i="2"/>
  <c r="O15" i="2"/>
  <c r="O58" i="2" s="1"/>
  <c r="O53" i="2"/>
  <c r="O9" i="2"/>
  <c r="O17" i="2" s="1"/>
  <c r="O18" i="2" s="1"/>
  <c r="G56" i="2"/>
  <c r="I56" i="2"/>
  <c r="J56" i="2"/>
  <c r="G57" i="2"/>
  <c r="I57" i="2"/>
  <c r="J57" i="2"/>
  <c r="E57" i="2"/>
  <c r="E56" i="2"/>
  <c r="E51" i="2"/>
  <c r="F51" i="2"/>
  <c r="G51" i="2"/>
  <c r="H51" i="2"/>
  <c r="I51" i="2"/>
  <c r="E52" i="2"/>
  <c r="F52" i="2"/>
  <c r="G52" i="2"/>
  <c r="H52" i="2"/>
  <c r="I52" i="2"/>
  <c r="J52" i="2"/>
  <c r="E53" i="2"/>
  <c r="F53" i="2"/>
  <c r="G53" i="2"/>
  <c r="H53" i="2"/>
  <c r="I53" i="2"/>
  <c r="J53" i="2"/>
  <c r="H50" i="2"/>
  <c r="F50" i="2"/>
  <c r="E50" i="2"/>
  <c r="G50" i="2"/>
  <c r="I50" i="2"/>
  <c r="E34" i="2"/>
  <c r="F34" i="2"/>
  <c r="G34" i="2"/>
  <c r="H34" i="2"/>
  <c r="I34" i="2"/>
  <c r="F33" i="2"/>
  <c r="G33" i="2"/>
  <c r="H33" i="2"/>
  <c r="I33" i="2"/>
  <c r="E33" i="2"/>
  <c r="E15" i="2"/>
  <c r="E58" i="2" s="1"/>
  <c r="F15" i="2"/>
  <c r="F58" i="2" s="1"/>
  <c r="G15" i="2"/>
  <c r="G58" i="2" s="1"/>
  <c r="H15" i="2"/>
  <c r="H58" i="2" s="1"/>
  <c r="I15" i="2"/>
  <c r="I58" i="2" s="1"/>
  <c r="J15" i="2"/>
  <c r="J58" i="2" s="1"/>
  <c r="E9" i="2"/>
  <c r="E17" i="2" s="1"/>
  <c r="F9" i="2"/>
  <c r="F17" i="2" s="1"/>
  <c r="G9" i="2"/>
  <c r="G17" i="2" s="1"/>
  <c r="H9" i="2"/>
  <c r="H17" i="2" s="1"/>
  <c r="I9" i="2"/>
  <c r="I17" i="2" s="1"/>
  <c r="J9" i="2"/>
  <c r="J17" i="2" s="1"/>
  <c r="P51" i="2"/>
  <c r="P52" i="2"/>
  <c r="P53" i="2"/>
  <c r="P50" i="2"/>
  <c r="N80" i="2"/>
  <c r="J21" i="5"/>
  <c r="J20" i="5"/>
  <c r="I49" i="4"/>
  <c r="I48" i="4"/>
  <c r="I47" i="4"/>
  <c r="I46" i="4"/>
  <c r="I43" i="4"/>
  <c r="I42" i="4"/>
  <c r="I41" i="4"/>
  <c r="I40" i="4"/>
  <c r="I28" i="4"/>
  <c r="I27" i="4"/>
  <c r="I26" i="4"/>
  <c r="I25" i="4"/>
  <c r="I13" i="4"/>
  <c r="I23" i="4" s="1"/>
  <c r="I12" i="4"/>
  <c r="I22" i="4" s="1"/>
  <c r="I11" i="4"/>
  <c r="I21" i="4" s="1"/>
  <c r="I10" i="4"/>
  <c r="I20" i="4" s="1"/>
  <c r="I7" i="4"/>
  <c r="I6" i="4"/>
  <c r="I5" i="4"/>
  <c r="I4" i="4"/>
  <c r="I8" i="4" s="1"/>
  <c r="P80" i="2"/>
  <c r="J15" i="5"/>
  <c r="J14" i="5"/>
  <c r="P54" i="2"/>
  <c r="G54" i="2"/>
  <c r="H54" i="2"/>
  <c r="I54" i="2"/>
  <c r="J54" i="2"/>
  <c r="K54" i="2"/>
  <c r="L54" i="2"/>
  <c r="M54" i="2"/>
  <c r="N54" i="2"/>
  <c r="E54" i="2"/>
  <c r="H20" i="5"/>
  <c r="H21" i="5"/>
  <c r="F59" i="4"/>
  <c r="G49" i="4"/>
  <c r="G48" i="4"/>
  <c r="G47" i="4"/>
  <c r="G46" i="4"/>
  <c r="G43" i="4"/>
  <c r="G42" i="4"/>
  <c r="G41" i="4"/>
  <c r="G40" i="4"/>
  <c r="G28" i="4"/>
  <c r="G27" i="4"/>
  <c r="G26" i="4"/>
  <c r="G25" i="4"/>
  <c r="G13" i="4"/>
  <c r="G23" i="4" s="1"/>
  <c r="G12" i="4"/>
  <c r="G22" i="4" s="1"/>
  <c r="G11" i="4"/>
  <c r="G21" i="4" s="1"/>
  <c r="G10" i="4"/>
  <c r="G20" i="4" s="1"/>
  <c r="G7" i="4"/>
  <c r="G6" i="4"/>
  <c r="G5" i="4"/>
  <c r="G4" i="4"/>
  <c r="G8" i="4" s="1"/>
  <c r="N34" i="2"/>
  <c r="H15" i="5" s="1"/>
  <c r="N33" i="2"/>
  <c r="H14" i="5" s="1"/>
  <c r="E20" i="5"/>
  <c r="F20" i="5"/>
  <c r="G20" i="5"/>
  <c r="E21" i="5"/>
  <c r="F21" i="5"/>
  <c r="G21" i="5"/>
  <c r="E17" i="5"/>
  <c r="F17" i="5"/>
  <c r="G17" i="5"/>
  <c r="H17" i="5"/>
  <c r="J17" i="5"/>
  <c r="K17" i="5"/>
  <c r="L17" i="5"/>
  <c r="M17" i="5"/>
  <c r="O17" i="5"/>
  <c r="P17" i="5"/>
  <c r="Q17" i="5"/>
  <c r="R17" i="5"/>
  <c r="S17" i="5"/>
  <c r="E18" i="5"/>
  <c r="F18" i="5"/>
  <c r="G18" i="5"/>
  <c r="H18" i="5"/>
  <c r="J18" i="5"/>
  <c r="K18" i="5"/>
  <c r="L18" i="5"/>
  <c r="M18" i="5"/>
  <c r="O18" i="5"/>
  <c r="P18" i="5"/>
  <c r="Q18" i="5"/>
  <c r="R18" i="5"/>
  <c r="S18" i="5"/>
  <c r="E11" i="5"/>
  <c r="F11" i="5"/>
  <c r="G11" i="5"/>
  <c r="J11" i="5"/>
  <c r="K11" i="5"/>
  <c r="L11" i="5"/>
  <c r="M11" i="5"/>
  <c r="O11" i="5"/>
  <c r="P11" i="5"/>
  <c r="Q11" i="5"/>
  <c r="R11" i="5"/>
  <c r="S11" i="5"/>
  <c r="E12" i="5"/>
  <c r="F12" i="5"/>
  <c r="G12" i="5"/>
  <c r="H12" i="5"/>
  <c r="J12" i="5"/>
  <c r="K12" i="5"/>
  <c r="L12" i="5"/>
  <c r="M12" i="5"/>
  <c r="O12" i="5"/>
  <c r="P12" i="5"/>
  <c r="Q12" i="5"/>
  <c r="R12" i="5"/>
  <c r="S12" i="5"/>
  <c r="E5" i="5"/>
  <c r="F5" i="5"/>
  <c r="G5" i="5"/>
  <c r="H5" i="5"/>
  <c r="J5" i="5"/>
  <c r="K5" i="5"/>
  <c r="L5" i="5"/>
  <c r="M5" i="5"/>
  <c r="O5" i="5"/>
  <c r="P5" i="5"/>
  <c r="Q5" i="5"/>
  <c r="R5" i="5"/>
  <c r="S5" i="5"/>
  <c r="E6" i="5"/>
  <c r="F6" i="5"/>
  <c r="G6" i="5"/>
  <c r="H6" i="5"/>
  <c r="J6" i="5"/>
  <c r="K6" i="5"/>
  <c r="L6" i="5"/>
  <c r="M6" i="5"/>
  <c r="O6" i="5"/>
  <c r="P6" i="5"/>
  <c r="Q6" i="5"/>
  <c r="R6" i="5"/>
  <c r="S6" i="5"/>
  <c r="F3" i="5"/>
  <c r="G3" i="5" s="1"/>
  <c r="H3" i="5" s="1"/>
  <c r="J3" i="5" s="1"/>
  <c r="K3" i="5" s="1"/>
  <c r="L3" i="5" s="1"/>
  <c r="M3" i="5" s="1"/>
  <c r="C15" i="2"/>
  <c r="C9" i="2"/>
  <c r="C17" i="2" s="1"/>
  <c r="C18" i="2" s="1"/>
  <c r="M80" i="2"/>
  <c r="F49" i="4"/>
  <c r="F48" i="4"/>
  <c r="F47" i="4"/>
  <c r="F46" i="4"/>
  <c r="F43" i="4"/>
  <c r="F42" i="4"/>
  <c r="F41" i="4"/>
  <c r="F40" i="4"/>
  <c r="F13" i="4"/>
  <c r="F23" i="4" s="1"/>
  <c r="F12" i="4"/>
  <c r="F22" i="4" s="1"/>
  <c r="F11" i="4"/>
  <c r="F21" i="4" s="1"/>
  <c r="F10" i="4"/>
  <c r="F20" i="4" s="1"/>
  <c r="F6" i="4"/>
  <c r="F5" i="4"/>
  <c r="F4" i="4"/>
  <c r="F7" i="4"/>
  <c r="M34" i="2"/>
  <c r="G15" i="5" s="1"/>
  <c r="M33" i="2"/>
  <c r="G14" i="5" s="1"/>
  <c r="E49" i="4"/>
  <c r="E48" i="4"/>
  <c r="E47" i="4"/>
  <c r="E46" i="4"/>
  <c r="E43" i="4"/>
  <c r="E42" i="4"/>
  <c r="E41" i="4"/>
  <c r="E40" i="4"/>
  <c r="E13" i="4"/>
  <c r="E23" i="4" s="1"/>
  <c r="E12" i="4"/>
  <c r="E22" i="4" s="1"/>
  <c r="E11" i="4"/>
  <c r="E21" i="4" s="1"/>
  <c r="E10" i="4"/>
  <c r="E20" i="4" s="1"/>
  <c r="E7" i="4"/>
  <c r="E6" i="4"/>
  <c r="E5" i="4"/>
  <c r="E4" i="4"/>
  <c r="L80" i="2"/>
  <c r="L34" i="2"/>
  <c r="F15" i="5" s="1"/>
  <c r="L33" i="2"/>
  <c r="F14" i="5" s="1"/>
  <c r="D46" i="4"/>
  <c r="D47" i="4"/>
  <c r="D48" i="4"/>
  <c r="D49" i="4"/>
  <c r="D40" i="4"/>
  <c r="D41" i="4"/>
  <c r="D42" i="4"/>
  <c r="D43" i="4"/>
  <c r="D10" i="4"/>
  <c r="D20" i="4" s="1"/>
  <c r="D11" i="4"/>
  <c r="D21" i="4" s="1"/>
  <c r="D12" i="4"/>
  <c r="D22" i="4" s="1"/>
  <c r="D13" i="4"/>
  <c r="D23" i="4" s="1"/>
  <c r="D4" i="4"/>
  <c r="D5" i="4"/>
  <c r="D6" i="4"/>
  <c r="D7" i="4"/>
  <c r="K80" i="2"/>
  <c r="K34" i="2"/>
  <c r="E15" i="5" s="1"/>
  <c r="K33" i="2"/>
  <c r="E14" i="5" s="1"/>
  <c r="D25" i="4"/>
  <c r="E25" i="4"/>
  <c r="F25" i="4"/>
  <c r="J25" i="4"/>
  <c r="K25" i="4"/>
  <c r="L25" i="4"/>
  <c r="D26" i="4"/>
  <c r="E26" i="4"/>
  <c r="F26" i="4"/>
  <c r="J26" i="4"/>
  <c r="K26" i="4"/>
  <c r="L26" i="4"/>
  <c r="D27" i="4"/>
  <c r="E27" i="4"/>
  <c r="F27" i="4"/>
  <c r="J27" i="4"/>
  <c r="K27" i="4"/>
  <c r="L27" i="4"/>
  <c r="D28" i="4"/>
  <c r="E28" i="4"/>
  <c r="F28" i="4"/>
  <c r="J28" i="4"/>
  <c r="K28" i="4"/>
  <c r="L28" i="4"/>
  <c r="N8" i="4"/>
  <c r="E8" i="4"/>
  <c r="D8" i="4"/>
  <c r="E2" i="4"/>
  <c r="F2" i="4" s="1"/>
  <c r="G2" i="4" s="1"/>
  <c r="I2" i="4" s="1"/>
  <c r="J2" i="4" s="1"/>
  <c r="K2" i="4" s="1"/>
  <c r="L2" i="4" s="1"/>
  <c r="F54" i="2"/>
  <c r="BL17" i="2" l="1"/>
  <c r="BL18" i="2" s="1"/>
  <c r="BL33" i="2"/>
  <c r="BF14" i="5" s="1"/>
  <c r="BN17" i="2"/>
  <c r="BN18" i="2" s="1"/>
  <c r="BN33" i="2"/>
  <c r="BH14" i="5" s="1"/>
  <c r="BM90" i="2"/>
  <c r="BM33" i="2"/>
  <c r="BG14" i="5" s="1"/>
  <c r="BO90" i="2"/>
  <c r="BO33" i="2"/>
  <c r="BI14" i="5" s="1"/>
  <c r="BP17" i="2"/>
  <c r="BP18" i="2" s="1"/>
  <c r="BP33" i="2"/>
  <c r="BJ14" i="5" s="1"/>
  <c r="BU17" i="2"/>
  <c r="BU18" i="2" s="1"/>
  <c r="BU33" i="2"/>
  <c r="BO14" i="5" s="1"/>
  <c r="P44" i="4"/>
  <c r="Q44" i="4"/>
  <c r="R44" i="4"/>
  <c r="AB44" i="4"/>
  <c r="AE44" i="4"/>
  <c r="AZ54" i="2"/>
  <c r="AZ58" i="2" s="1"/>
  <c r="AS41" i="4"/>
  <c r="AS44" i="4" s="1"/>
  <c r="BD44" i="4"/>
  <c r="BE25" i="9"/>
  <c r="BE26" i="9"/>
  <c r="BK25" i="9"/>
  <c r="BK26" i="9"/>
  <c r="BP25" i="9"/>
  <c r="BP26" i="9"/>
  <c r="BW54" i="2"/>
  <c r="BP71" i="4"/>
  <c r="BP76" i="4"/>
  <c r="BP72" i="4"/>
  <c r="BP77" i="4"/>
  <c r="BP73" i="4"/>
  <c r="BP78" i="4"/>
  <c r="BP74" i="4"/>
  <c r="BP79" i="4"/>
  <c r="BW17" i="2"/>
  <c r="BW18" i="2" s="1"/>
  <c r="BW90" i="2"/>
  <c r="CA90" i="2" s="1"/>
  <c r="BJ17" i="2"/>
  <c r="BJ18" i="2" s="1"/>
  <c r="BJ90" i="2"/>
  <c r="BR17" i="2"/>
  <c r="BR18" i="2" s="1"/>
  <c r="BR90" i="2"/>
  <c r="BT17" i="2"/>
  <c r="BT18" i="2" s="1"/>
  <c r="BT90" i="2"/>
  <c r="BO77" i="4"/>
  <c r="BO72" i="4"/>
  <c r="AI16" i="6"/>
  <c r="AI21" i="6" s="1"/>
  <c r="AH16" i="6"/>
  <c r="AH21" i="6" s="1"/>
  <c r="AI17" i="6"/>
  <c r="AI22" i="6" s="1"/>
  <c r="AH17" i="6"/>
  <c r="AH22" i="6" s="1"/>
  <c r="AI18" i="6"/>
  <c r="AH18" i="6"/>
  <c r="AH23" i="6" s="1"/>
  <c r="AG19" i="6"/>
  <c r="AG24" i="6" s="1"/>
  <c r="AN6" i="4"/>
  <c r="BQ58" i="2"/>
  <c r="BH17" i="2"/>
  <c r="BH18" i="2" s="1"/>
  <c r="BH90" i="2"/>
  <c r="BK90" i="2" s="1"/>
  <c r="BD8" i="4"/>
  <c r="AU6" i="2"/>
  <c r="AD19" i="6" s="1"/>
  <c r="AD24" i="6" s="1"/>
  <c r="AF18" i="6"/>
  <c r="BE17" i="2"/>
  <c r="BE18" i="2" s="1"/>
  <c r="BE90" i="2"/>
  <c r="BF90" i="2" s="1"/>
  <c r="BB18" i="2"/>
  <c r="AD16" i="6"/>
  <c r="AD21" i="6" s="1"/>
  <c r="AE16" i="6"/>
  <c r="AE21" i="6" s="1"/>
  <c r="AD17" i="6"/>
  <c r="AD22" i="6" s="1"/>
  <c r="AE17" i="6"/>
  <c r="BA17" i="2"/>
  <c r="BA18" i="2" s="1"/>
  <c r="AV17" i="2"/>
  <c r="AV18" i="2" s="1"/>
  <c r="AV90" i="2"/>
  <c r="AC18" i="6"/>
  <c r="AC23" i="6" s="1"/>
  <c r="AD18" i="6"/>
  <c r="AD23" i="6" s="1"/>
  <c r="AU58" i="2"/>
  <c r="V24" i="6"/>
  <c r="U24" i="6"/>
  <c r="T24" i="6"/>
  <c r="S24" i="6"/>
  <c r="Q24" i="6"/>
  <c r="P24" i="6"/>
  <c r="O24" i="6"/>
  <c r="N24" i="6"/>
  <c r="AW18" i="2"/>
  <c r="AN28" i="4"/>
  <c r="AN27" i="4"/>
  <c r="AN26" i="4"/>
  <c r="AN25" i="4"/>
  <c r="AU15" i="2"/>
  <c r="AN7" i="4"/>
  <c r="AN8" i="4"/>
  <c r="AS18" i="2"/>
  <c r="T100" i="2"/>
  <c r="T101" i="2" s="1"/>
  <c r="L19" i="6"/>
  <c r="L24" i="6" s="1"/>
  <c r="O100" i="2"/>
  <c r="O101" i="2" s="1"/>
  <c r="M19" i="6"/>
  <c r="M24" i="6" s="1"/>
  <c r="R18" i="6"/>
  <c r="R23" i="6" s="1"/>
  <c r="W18" i="6"/>
  <c r="W23" i="6" s="1"/>
  <c r="AB18" i="6"/>
  <c r="AB23" i="6" s="1"/>
  <c r="AE100" i="2"/>
  <c r="AE101" i="2" s="1"/>
  <c r="AH100" i="2"/>
  <c r="AF100" i="2"/>
  <c r="AC19" i="6"/>
  <c r="AC24" i="6" s="1"/>
  <c r="AP100" i="2"/>
  <c r="AL17" i="2"/>
  <c r="AL18" i="2" s="1"/>
  <c r="AL90" i="2"/>
  <c r="AN17" i="2"/>
  <c r="AN90" i="2"/>
  <c r="AN18" i="2"/>
  <c r="AM18" i="2"/>
  <c r="AK80" i="2"/>
  <c r="AK54" i="2"/>
  <c r="AD40" i="4"/>
  <c r="AD44" i="4" s="1"/>
  <c r="AI17" i="2"/>
  <c r="AI18" i="2" s="1"/>
  <c r="AI100" i="2" s="1"/>
  <c r="AI90" i="2"/>
  <c r="AG17" i="2"/>
  <c r="AG90" i="2"/>
  <c r="AH54" i="2"/>
  <c r="AA40" i="4"/>
  <c r="AA44" i="4" s="1"/>
  <c r="AH80" i="2"/>
  <c r="AJ18" i="2"/>
  <c r="AJ100" i="2" s="1"/>
  <c r="AC54" i="2"/>
  <c r="V40" i="4"/>
  <c r="V44" i="4" s="1"/>
  <c r="AC80" i="2"/>
  <c r="AD54" i="2"/>
  <c r="W40" i="4"/>
  <c r="W44" i="4" s="1"/>
  <c r="AF54" i="2"/>
  <c r="Y40" i="4"/>
  <c r="Y44" i="4" s="1"/>
  <c r="AF80" i="2"/>
  <c r="AG54" i="2"/>
  <c r="Z40" i="4"/>
  <c r="Z44" i="4" s="1"/>
  <c r="AG80" i="2"/>
  <c r="AG18" i="2"/>
  <c r="AG100" i="2" s="1"/>
  <c r="W15" i="5"/>
  <c r="AC17" i="2"/>
  <c r="AC18" i="2"/>
  <c r="AC100" i="2" s="1"/>
  <c r="V15" i="5"/>
  <c r="AB17" i="2"/>
  <c r="AB18" i="2" s="1"/>
  <c r="AB100" i="2" s="1"/>
  <c r="U40" i="4"/>
  <c r="U44" i="4" s="1"/>
  <c r="AB54" i="2"/>
  <c r="Z6" i="2"/>
  <c r="Z58" i="2"/>
  <c r="AA54" i="2"/>
  <c r="T40" i="4"/>
  <c r="T44" i="4" s="1"/>
  <c r="S28" i="4"/>
  <c r="S27" i="4"/>
  <c r="S26" i="4"/>
  <c r="S25" i="4"/>
  <c r="O8" i="4"/>
  <c r="U54" i="2"/>
  <c r="N40" i="4"/>
  <c r="N44" i="4" s="1"/>
  <c r="H28" i="4"/>
  <c r="H27" i="4"/>
  <c r="H26" i="4"/>
  <c r="H25" i="4"/>
  <c r="M25" i="4"/>
  <c r="M26" i="4"/>
  <c r="M27" i="4"/>
  <c r="M28" i="4"/>
  <c r="S54" i="2"/>
  <c r="L43" i="4"/>
  <c r="H40" i="4"/>
  <c r="H43" i="4"/>
  <c r="H84" i="4"/>
  <c r="H79" i="4"/>
  <c r="H74" i="4"/>
  <c r="H42" i="4"/>
  <c r="H83" i="4"/>
  <c r="H78" i="4"/>
  <c r="H73" i="4"/>
  <c r="H41" i="4"/>
  <c r="J40" i="4"/>
  <c r="O54" i="2"/>
  <c r="J18" i="2"/>
  <c r="I18" i="2"/>
  <c r="H18" i="2"/>
  <c r="G18" i="2"/>
  <c r="F18" i="2"/>
  <c r="E18" i="2"/>
  <c r="S7" i="5"/>
  <c r="S9" i="5" s="1"/>
  <c r="R7" i="5"/>
  <c r="R9" i="5" s="1"/>
  <c r="Q7" i="5"/>
  <c r="Q9" i="5" s="1"/>
  <c r="P7" i="5"/>
  <c r="P9" i="5" s="1"/>
  <c r="O7" i="5"/>
  <c r="O9" i="5" s="1"/>
  <c r="M7" i="5"/>
  <c r="M9" i="5" s="1"/>
  <c r="L7" i="5"/>
  <c r="L9" i="5" s="1"/>
  <c r="K7" i="5"/>
  <c r="K9" i="5" s="1"/>
  <c r="J7" i="5"/>
  <c r="J9" i="5" s="1"/>
  <c r="H7" i="5"/>
  <c r="H9" i="5" s="1"/>
  <c r="G7" i="5"/>
  <c r="G9" i="5" s="1"/>
  <c r="F7" i="5"/>
  <c r="F9" i="5" s="1"/>
  <c r="E7" i="5"/>
  <c r="E9" i="5" s="1"/>
  <c r="F8" i="4"/>
  <c r="BQ90" i="2" l="1"/>
  <c r="AI19" i="6"/>
  <c r="AI24" i="6" s="1"/>
  <c r="AI23" i="6"/>
  <c r="BV90" i="2"/>
  <c r="AH19" i="6"/>
  <c r="AH24" i="6" s="1"/>
  <c r="AU18" i="2"/>
  <c r="AF23" i="6"/>
  <c r="AF19" i="6"/>
  <c r="AF24" i="6" s="1"/>
  <c r="AE19" i="6"/>
  <c r="AE24" i="6" s="1"/>
  <c r="AE22" i="6"/>
  <c r="Z100" i="2"/>
  <c r="Z101" i="2" s="1"/>
  <c r="R19" i="6"/>
  <c r="R24" i="6" s="1"/>
  <c r="W19" i="6"/>
  <c r="W24" i="6" s="1"/>
  <c r="AB19" i="6"/>
  <c r="AB24" i="6" s="1"/>
  <c r="AJ101" i="2"/>
  <c r="AJ102" i="2"/>
  <c r="K9" i="2"/>
  <c r="K17" i="2" s="1"/>
  <c r="L9" i="2"/>
  <c r="L17" i="2" s="1"/>
  <c r="M9" i="2"/>
  <c r="M17" i="2" s="1"/>
  <c r="N9" i="2"/>
  <c r="N17" i="2" s="1"/>
  <c r="P9" i="2"/>
  <c r="P17" i="2" s="1"/>
  <c r="Q9" i="2"/>
  <c r="Q17" i="2" s="1"/>
  <c r="R9" i="2"/>
  <c r="R17" i="2" s="1"/>
  <c r="S9" i="2"/>
  <c r="S17" i="2" s="1"/>
  <c r="U9" i="2"/>
  <c r="U17" i="2" s="1"/>
  <c r="V9" i="2"/>
  <c r="W9" i="2"/>
  <c r="X9" i="2"/>
  <c r="Y9" i="2"/>
  <c r="AA9" i="2"/>
  <c r="K15" i="2"/>
  <c r="L15" i="2"/>
  <c r="M15" i="2"/>
  <c r="N15" i="2"/>
  <c r="P15" i="2"/>
  <c r="Q15" i="2"/>
  <c r="R15" i="2"/>
  <c r="S15" i="2"/>
  <c r="U15" i="2"/>
  <c r="V15" i="2"/>
  <c r="W15" i="2"/>
  <c r="X15" i="2"/>
  <c r="Y15" i="2"/>
  <c r="Y91" i="2" s="1"/>
  <c r="AA15" i="2"/>
  <c r="AA17" i="2" l="1"/>
  <c r="U15" i="5"/>
  <c r="Y17" i="2"/>
  <c r="Y34" i="2"/>
  <c r="S15" i="5" s="1"/>
  <c r="X17" i="2"/>
  <c r="X34" i="2"/>
  <c r="R15" i="5" s="1"/>
  <c r="W17" i="2"/>
  <c r="W34" i="2"/>
  <c r="Q15" i="5" s="1"/>
  <c r="V17" i="2"/>
  <c r="V34" i="2"/>
  <c r="P15" i="5" s="1"/>
  <c r="L18" i="2"/>
  <c r="N18" i="2"/>
  <c r="M18" i="2"/>
  <c r="W18" i="2"/>
  <c r="W100" i="2" s="1"/>
  <c r="V18" i="2"/>
  <c r="V100" i="2" s="1"/>
  <c r="U18" i="2"/>
  <c r="U100" i="2" s="1"/>
  <c r="R18" i="2"/>
  <c r="R100" i="2" s="1"/>
  <c r="Q18" i="2"/>
  <c r="Q100" i="2" s="1"/>
  <c r="S18" i="2"/>
  <c r="S100" i="2" s="1"/>
  <c r="P18" i="2"/>
  <c r="P100" i="2" s="1"/>
  <c r="Y18" i="2"/>
  <c r="Y100" i="2" s="1"/>
  <c r="K18" i="2"/>
  <c r="X18" i="2"/>
  <c r="X100" i="2" s="1"/>
  <c r="AA18" i="2"/>
  <c r="AA100" i="2" s="1"/>
  <c r="L1" i="2" l="1"/>
  <c r="M1" i="2" l="1"/>
  <c r="N1"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tc={7827E5B9-5FAE-46E1-BE0A-AA232B93BC03}</author>
    <author>Serene Liu</author>
  </authors>
  <commentList>
    <comment ref="B33" authorId="0" shapeId="0" xr:uid="{7827E5B9-5FAE-46E1-BE0A-AA232B93BC0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@Serene Liu build formula to turn anything 20% below or above benchmark is red or green (See Doug for questions)
Reply:
    @Serene Liu The 20% color change should be limited to "Recerts" section.
Change all other sections to change color based on it increasing or decreasing by any single digit @see Doug for questions
Reply:
    @Serene Liu Can you only fill current week red or green compared to benchmark.  We only want to see week over week increases or decreases in red or green.  Remove prior week fill and only update current week every week.
Reply:
    Ok. Got it!
Reply:
    @Serene Liu Was this completed?
Reply:
    I completed this last Friday and it was at 45.3%, but now it looks like it dropped a little to 44.7%</t>
      </text>
    </comment>
    <comment ref="BO84" authorId="1" shapeId="0" xr:uid="{2613DBF2-C54D-4F65-AD78-F295AF1DABB0}">
      <text>
        <r>
          <rPr>
            <sz val="11"/>
            <color theme="1"/>
            <rFont val="Aptos Narrow"/>
            <family val="2"/>
            <scheme val="minor"/>
          </rPr>
          <t>Serene Liu:
HH and Palliative combined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Serene Liu</author>
  </authors>
  <commentList>
    <comment ref="J31" authorId="0" shapeId="0" xr:uid="{67B90E4E-47A8-478C-8E8D-2C17FC593D5C}">
      <text>
        <r>
          <rPr>
            <sz val="11"/>
            <color theme="1"/>
            <rFont val="Aptos Narrow"/>
            <family val="2"/>
            <scheme val="minor"/>
          </rPr>
          <t>Serene Liu:
Mistyped adjustment number, % changed from 0.3%</t>
        </r>
      </text>
    </comment>
    <comment ref="R32" authorId="0" shapeId="0" xr:uid="{2D0D2428-A52D-4142-AE63-D9FBDDA12275}">
      <text>
        <r>
          <rPr>
            <sz val="11"/>
            <color theme="1"/>
            <rFont val="Aptos Narrow"/>
            <family val="2"/>
            <scheme val="minor"/>
          </rPr>
          <t>Serene Liu:
Mistyped, changed from 7.2%</t>
        </r>
      </text>
    </comment>
    <comment ref="L43" authorId="0" shapeId="0" xr:uid="{B3514BF7-1FF9-4AC9-8919-705DE348979E}">
      <text>
        <r>
          <rPr>
            <sz val="11"/>
            <color theme="1"/>
            <rFont val="Aptos Narrow"/>
            <family val="2"/>
            <scheme val="minor"/>
          </rPr>
          <t>Serene Liu:
Mistyped, changed from 18.5%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tc={E61F9913-5CD2-4634-8D12-BD30F2A5C143}</author>
  </authors>
  <commentList>
    <comment ref="CF20" authorId="0" shapeId="0" xr:uid="{E61F9913-5CD2-4634-8D12-BD30F2A5C143}">
      <text>
        <t>[Threaded comment]
Your version of Excel allows you to read this threaded comment; however, any edits to it will get removed if the file is opened in a newer version of Excel. Learn more: https://go.microsoft.com/fwlink/?linkid=870924
Comment:
    why is this so high?</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tc={0D918338-76E5-4E3F-AC1E-4DA4886AD7BA}</author>
  </authors>
  <commentList>
    <comment ref="C1" authorId="0" shapeId="0" xr:uid="{0D918338-76E5-4E3F-AC1E-4DA4886AD7BA}">
      <text>
        <t xml:space="preserve">[Threaded comment]
Your version of Excel allows you to read this threaded comment; however, any edits to it will get removed if the file is opened in a newer version of Excel. Learn more: https://go.microsoft.com/fwlink/?linkid=870924
Comment:
    what day o fthe week are these populated? and how many weeks out are they populated? </t>
      </text>
    </comment>
  </commentList>
</comments>
</file>

<file path=xl/sharedStrings.xml><?xml version="1.0" encoding="utf-8"?>
<sst xmlns="http://schemas.openxmlformats.org/spreadsheetml/2006/main" count="1032" uniqueCount="356">
  <si>
    <t>KPI</t>
  </si>
  <si>
    <t xml:space="preserve">Definition </t>
  </si>
  <si>
    <t>Benchmark</t>
  </si>
  <si>
    <t>Service Line</t>
  </si>
  <si>
    <t>3/2-3/8</t>
  </si>
  <si>
    <t>3/9-3/15</t>
  </si>
  <si>
    <t>3/16-3/22</t>
  </si>
  <si>
    <t>3/23-3/29</t>
  </si>
  <si>
    <t>3/30-4/5</t>
  </si>
  <si>
    <t>4/6-4/12</t>
  </si>
  <si>
    <t>4/13-4/19</t>
  </si>
  <si>
    <t>4/20-4/26</t>
  </si>
  <si>
    <t>4/27-5/3</t>
  </si>
  <si>
    <t>5/4-5/10</t>
  </si>
  <si>
    <t>5/11-5/17</t>
  </si>
  <si>
    <t>5/18-5/24</t>
  </si>
  <si>
    <t>5/25-5/31</t>
  </si>
  <si>
    <t>6/1-6/7</t>
  </si>
  <si>
    <t>6/8-6/14</t>
  </si>
  <si>
    <t>6/15-6/21</t>
  </si>
  <si>
    <t>6/22-6/28</t>
  </si>
  <si>
    <t>6/29-7/5</t>
  </si>
  <si>
    <t>7/6-7/12</t>
  </si>
  <si>
    <t>7/13-7/19</t>
  </si>
  <si>
    <t>7/20-7/26</t>
  </si>
  <si>
    <t>7/27-8/2</t>
  </si>
  <si>
    <t>8/3-8/9</t>
  </si>
  <si>
    <t>8/10-8/16</t>
  </si>
  <si>
    <t>8/17-8/23</t>
  </si>
  <si>
    <t>8/24-8/30</t>
  </si>
  <si>
    <t>8/31-9/6</t>
  </si>
  <si>
    <t>9/7-9/13</t>
  </si>
  <si>
    <t>9/14-9/20</t>
  </si>
  <si>
    <t>9/21-9/27</t>
  </si>
  <si>
    <t>9/28-10/4</t>
  </si>
  <si>
    <t>10/5-10/11</t>
  </si>
  <si>
    <t>10/12-10/18</t>
  </si>
  <si>
    <t>10/19-10/25</t>
  </si>
  <si>
    <t>10/26-11/1</t>
  </si>
  <si>
    <t>11/2-11/8</t>
  </si>
  <si>
    <t>11/9-11/15</t>
  </si>
  <si>
    <t>11/16-11/22</t>
  </si>
  <si>
    <t>11/23-11/29</t>
  </si>
  <si>
    <t>11/30-12/6</t>
  </si>
  <si>
    <t>12/7-12/13</t>
  </si>
  <si>
    <t>12/14-12/20</t>
  </si>
  <si>
    <t>12/21-12/27</t>
  </si>
  <si>
    <t>12/28-1/3</t>
  </si>
  <si>
    <t>1/4-1/10</t>
  </si>
  <si>
    <t>1/11-1/17</t>
  </si>
  <si>
    <t>1/18-1/24</t>
  </si>
  <si>
    <t>1/25-1/31</t>
  </si>
  <si>
    <t>2/1-2/7</t>
  </si>
  <si>
    <t>2/8-2/14</t>
  </si>
  <si>
    <t>2/15-2/21</t>
  </si>
  <si>
    <t>2/22-2/28</t>
  </si>
  <si>
    <t>3/1-3/7</t>
  </si>
  <si>
    <t>3/8-3/14</t>
  </si>
  <si>
    <t>3/15-3/21</t>
  </si>
  <si>
    <t>3/22-3/28</t>
  </si>
  <si>
    <t>3/29-4/4</t>
  </si>
  <si>
    <t>4/5-4/11</t>
  </si>
  <si>
    <t>4/12-4/18</t>
  </si>
  <si>
    <t>4/19-4/25</t>
  </si>
  <si>
    <t>4/26-5/2</t>
  </si>
  <si>
    <t>Revenue per period (Monthly)</t>
  </si>
  <si>
    <t>Month end close report summary</t>
  </si>
  <si>
    <t>HH</t>
  </si>
  <si>
    <t>Palliative</t>
  </si>
  <si>
    <t>Hospice</t>
  </si>
  <si>
    <t>Current ADC</t>
  </si>
  <si>
    <t xml:space="preserve">Benchmark </t>
  </si>
  <si>
    <t>Home Health WAAR report - weekly ending Sunday</t>
  </si>
  <si>
    <t>Calculated</t>
  </si>
  <si>
    <t>Total HH &amp; PAL</t>
  </si>
  <si>
    <t>Hospice WAAR report - weekly ending Sunday</t>
  </si>
  <si>
    <t>Hospice OC</t>
  </si>
  <si>
    <t>Hospice IE</t>
  </si>
  <si>
    <t>Hospice SGV</t>
  </si>
  <si>
    <t>Total Hospice Desert</t>
  </si>
  <si>
    <t>Total Hospice</t>
  </si>
  <si>
    <t>Hospice Census Equivalent (HCE)</t>
  </si>
  <si>
    <t>Benchmark Budget</t>
  </si>
  <si>
    <t>Calculated (avg.)</t>
  </si>
  <si>
    <t>HH+Palliative</t>
  </si>
  <si>
    <t>All Locations</t>
  </si>
  <si>
    <t>Weekly Admission (add house category)</t>
  </si>
  <si>
    <t>Budget</t>
  </si>
  <si>
    <t>Total Comb. HH-Pall</t>
  </si>
  <si>
    <t>Hospice Desert</t>
  </si>
  <si>
    <t># of Recerts</t>
  </si>
  <si>
    <t>Recert %</t>
  </si>
  <si>
    <t>Calculated for weekly; Analytics Leadership-&gt; KPI alerts -&gt; HH Medicare for monthly only</t>
  </si>
  <si>
    <t>HH/Palliative</t>
  </si>
  <si>
    <t>Total Discharges</t>
  </si>
  <si>
    <t xml:space="preserve">   Total</t>
  </si>
  <si>
    <t>Live Discharge</t>
  </si>
  <si>
    <t>Hospice WAAR report - weekly ending Sunday; Key Metrics Report - Monthly</t>
  </si>
  <si>
    <t>Total Patient Days</t>
  </si>
  <si>
    <t>multiply ADC by days in month or weekly - 7</t>
  </si>
  <si>
    <t>Revenue per Patient Day</t>
  </si>
  <si>
    <t>Medicare Discharge Total LOS - Monthly</t>
  </si>
  <si>
    <t>HCHB Analytics - Hospice Key Metrics - LOS</t>
  </si>
  <si>
    <t>Lupa %</t>
  </si>
  <si>
    <t>Monthly Only</t>
  </si>
  <si>
    <t>KPI Alerts - HH Medicare</t>
  </si>
  <si>
    <t>NA</t>
  </si>
  <si>
    <t>Client Mgmt - Home Health LUPA</t>
  </si>
  <si>
    <t>% of Workers Achieving expected Points</t>
  </si>
  <si>
    <t>(FT only )</t>
  </si>
  <si>
    <t>Field Operations/Field Productivity - Worker Points</t>
  </si>
  <si>
    <t>HH + Palliative</t>
  </si>
  <si>
    <t>Unbilled Claims</t>
  </si>
  <si>
    <t>AR Aging by Patient Report</t>
  </si>
  <si>
    <t>Total Unbilled Claims</t>
  </si>
  <si>
    <t>FTE</t>
  </si>
  <si>
    <t>As calcuated from Payroll system on payweek</t>
  </si>
  <si>
    <t>Stephanie's calculation every payroll week</t>
  </si>
  <si>
    <t>Midco</t>
  </si>
  <si>
    <t>Hospice/Living Stones</t>
  </si>
  <si>
    <t>Total</t>
  </si>
  <si>
    <t>Total Employee Count</t>
  </si>
  <si>
    <t>From Paychex</t>
  </si>
  <si>
    <t>Total Combined</t>
  </si>
  <si>
    <t xml:space="preserve">Census per EE (Make sure headcount is based on FTE = 1 /  PT or PRN=.3) </t>
  </si>
  <si>
    <t xml:space="preserve">Contribution Margin (Monthly) </t>
  </si>
  <si>
    <t>Financial Statements</t>
  </si>
  <si>
    <t>HH &amp; PAL</t>
  </si>
  <si>
    <t>Montherized</t>
  </si>
  <si>
    <t>Total HCHB Aging</t>
  </si>
  <si>
    <t>Over 120 days</t>
  </si>
  <si>
    <t>AR Aging Report</t>
  </si>
  <si>
    <t xml:space="preserve">   HH</t>
  </si>
  <si>
    <t xml:space="preserve">   PAL</t>
  </si>
  <si>
    <t xml:space="preserve">   HOSP</t>
  </si>
  <si>
    <t>Accounts Receivable Aging</t>
  </si>
  <si>
    <t>Average Revenue per day in trailing 3 months</t>
  </si>
  <si>
    <t>(does not include WellSky)</t>
  </si>
  <si>
    <t>Total average Revnue per day</t>
  </si>
  <si>
    <t>DSO by Service Line</t>
  </si>
  <si>
    <t>Total DSO</t>
  </si>
  <si>
    <t>AP Aging</t>
  </si>
  <si>
    <t>Total AP Aging</t>
  </si>
  <si>
    <t>Contributiion Margin Per FTE</t>
  </si>
  <si>
    <t xml:space="preserve">   HH/PAL</t>
  </si>
  <si>
    <t>Billing System Adjustment %</t>
  </si>
  <si>
    <t>Home Health</t>
  </si>
  <si>
    <t>HL1</t>
  </si>
  <si>
    <t>PO1</t>
  </si>
  <si>
    <t>Month End Close Revenue Report</t>
  </si>
  <si>
    <t>Livingstones Orange</t>
  </si>
  <si>
    <t>LO1</t>
  </si>
  <si>
    <t>Acacia Orange</t>
  </si>
  <si>
    <t>XO1</t>
  </si>
  <si>
    <t>Livingstone IE</t>
  </si>
  <si>
    <t>LI1</t>
  </si>
  <si>
    <t>Acacia IE</t>
  </si>
  <si>
    <t>ZI1</t>
  </si>
  <si>
    <t>Livingstones SGV</t>
  </si>
  <si>
    <t>LS1</t>
  </si>
  <si>
    <t>Acacia SGV</t>
  </si>
  <si>
    <t>ZS1</t>
  </si>
  <si>
    <t>Livingstones Desert</t>
  </si>
  <si>
    <t>XD1</t>
  </si>
  <si>
    <t>Acacia Desert</t>
  </si>
  <si>
    <t>ZD1</t>
  </si>
  <si>
    <t>Billing Manual Adjustment %</t>
  </si>
  <si>
    <t>Billing Manual Adjustment Breakdown %</t>
  </si>
  <si>
    <t>Month End Close Adjustment Detail Report</t>
  </si>
  <si>
    <t>CMS HIPPS ADJUSTMENT</t>
  </si>
  <si>
    <t>CONTRACTUAL ADJUSTMENT</t>
  </si>
  <si>
    <t>CONTRACTUAL MANUAL</t>
  </si>
  <si>
    <t>MSP ADJUSTMENT</t>
  </si>
  <si>
    <t>PDGM PEP</t>
  </si>
  <si>
    <t>SEQUESTRATION</t>
  </si>
  <si>
    <t>SMALL BALANCE ADJUSTMENT</t>
  </si>
  <si>
    <t>TIMELY FILING</t>
  </si>
  <si>
    <t>UNCOLLECTABLE/BAD DEBT</t>
  </si>
  <si>
    <t>PAYER INITIATED ADJUSTMENT</t>
  </si>
  <si>
    <t>NON-CONTRACT PROVIDER</t>
  </si>
  <si>
    <t>NO AUTHORIZATION</t>
  </si>
  <si>
    <t>INTEREST RECEIVED FROM PAYER</t>
  </si>
  <si>
    <t>NO COVERAGE</t>
  </si>
  <si>
    <t>HR/ RECRUITMENT</t>
  </si>
  <si>
    <t>Open Jobs</t>
  </si>
  <si>
    <t>Hospice IE/SGV</t>
  </si>
  <si>
    <t>Midco OC</t>
  </si>
  <si>
    <t>Midco IE/SGV</t>
  </si>
  <si>
    <t>Midco Desert</t>
  </si>
  <si>
    <t>Time to Hire</t>
  </si>
  <si>
    <t>From Recquisition to Offer Acceptance</t>
  </si>
  <si>
    <t>14 days</t>
  </si>
  <si>
    <t>ALL ( Acacia)</t>
  </si>
  <si>
    <t>Cost per hire</t>
  </si>
  <si>
    <t>Month end report</t>
  </si>
  <si>
    <t>Retention Rate</t>
  </si>
  <si>
    <t>HR Files (complete)</t>
  </si>
  <si>
    <t>Employee Satisfaction</t>
  </si>
  <si>
    <t>COMPLIANCE/ QA</t>
  </si>
  <si>
    <t>FALLS</t>
  </si>
  <si>
    <t>COMPLAINTS</t>
  </si>
  <si>
    <t>Complaints Resolved</t>
  </si>
  <si>
    <t>INFECTIONS</t>
  </si>
  <si>
    <t xml:space="preserve">LIVE DC'S </t>
  </si>
  <si>
    <t>Revocations &amp; transfers</t>
  </si>
  <si>
    <t>TERMINATIONS</t>
  </si>
  <si>
    <t>ADRs</t>
  </si>
  <si>
    <t>ACTIVE LAWSUITS</t>
  </si>
  <si>
    <t>GRIEVANCE</t>
  </si>
  <si>
    <t>iNCIDENT REPORTS</t>
  </si>
  <si>
    <t>WORKER INJURIES</t>
  </si>
  <si>
    <t>EMERGENCY PREP</t>
  </si>
  <si>
    <t>Company</t>
  </si>
  <si>
    <t>Location</t>
  </si>
  <si>
    <t>Position</t>
  </si>
  <si>
    <t>Total Pay 05/09/25</t>
  </si>
  <si>
    <t>FTE Count</t>
  </si>
  <si>
    <t>Average Annual Pay</t>
  </si>
  <si>
    <t>Notes</t>
  </si>
  <si>
    <t> </t>
  </si>
  <si>
    <t>CHHA</t>
  </si>
  <si>
    <t>LVN</t>
  </si>
  <si>
    <t>Lets have this updated for Q4 2025</t>
  </si>
  <si>
    <t>RN</t>
  </si>
  <si>
    <t>Counseling</t>
  </si>
  <si>
    <t>MSW</t>
  </si>
  <si>
    <t>Sow trend and do by QUarter</t>
  </si>
  <si>
    <t>PT</t>
  </si>
  <si>
    <t>Keep ny location</t>
  </si>
  <si>
    <t>Hospice includ. Living Stones</t>
  </si>
  <si>
    <t>Desert</t>
  </si>
  <si>
    <t>NP</t>
  </si>
  <si>
    <t>IE</t>
  </si>
  <si>
    <t>OC</t>
  </si>
  <si>
    <t>Clinical Liaison</t>
  </si>
  <si>
    <t>Nina also does LVN visits, but couldn't split it</t>
  </si>
  <si>
    <t>SGV</t>
  </si>
  <si>
    <t>Naomi is in this group, but also does OC visits, couldn't split it</t>
  </si>
  <si>
    <t>FT FTE's only no per diem</t>
  </si>
  <si>
    <t xml:space="preserve">ACACIA HEALTH HOSPICE SCORECARD </t>
  </si>
  <si>
    <t>Current Census</t>
  </si>
  <si>
    <t>increase 15% per quarter</t>
  </si>
  <si>
    <t>Admissions</t>
  </si>
  <si>
    <t xml:space="preserve">Weekly Referral </t>
  </si>
  <si>
    <t>NTUC Rate (Admission / Referral)</t>
  </si>
  <si>
    <t>&lt;20%</t>
  </si>
  <si>
    <t>Live Discharge - Patient Initiated (Revocation/Tsf to Other Hospice)</t>
  </si>
  <si>
    <t>Live Discharge - Hospice Initiated (Prognosis/DC for cause/Out of Area)</t>
  </si>
  <si>
    <t>4% or &lt; per month</t>
  </si>
  <si>
    <t>TOTAL</t>
  </si>
  <si>
    <t>MEDIAN LOS</t>
  </si>
  <si>
    <t>Hospice Median LOS Report</t>
  </si>
  <si>
    <t>100 days or less</t>
  </si>
  <si>
    <t>OT (&lt; 3% Total payroll)</t>
  </si>
  <si>
    <t>Hospice Desert/Living Stones</t>
  </si>
  <si>
    <t>Average hours to admit from referral</t>
  </si>
  <si>
    <t>HCHB Analytics - Population Report Card - Monthly</t>
  </si>
  <si>
    <t>4 Hrs</t>
  </si>
  <si>
    <t>5 Hrs</t>
  </si>
  <si>
    <t>7 Hrs</t>
  </si>
  <si>
    <t>6 Hrs</t>
  </si>
  <si>
    <t>10 Hrs</t>
  </si>
  <si>
    <t>22 Hrs</t>
  </si>
  <si>
    <t>21 Hrs</t>
  </si>
  <si>
    <t>N/A</t>
  </si>
  <si>
    <t>20 Hrs</t>
  </si>
  <si>
    <t>15 Hrs</t>
  </si>
  <si>
    <t>8 Hrs</t>
  </si>
  <si>
    <t>14 Hrs</t>
  </si>
  <si>
    <t>19 Hrs</t>
  </si>
  <si>
    <t>56 Hrs</t>
  </si>
  <si>
    <t>Contribution Margin</t>
  </si>
  <si>
    <t>Enter in target</t>
  </si>
  <si>
    <t>DME PPD</t>
  </si>
  <si>
    <t>Pharmacy PPD</t>
  </si>
  <si>
    <t>Supplies PPD</t>
  </si>
  <si>
    <t xml:space="preserve">HIS - Timely Submission </t>
  </si>
  <si>
    <t>HCHB App - HIS Timely Submission Tracing Report</t>
  </si>
  <si>
    <t>NOE - Timely Submission</t>
  </si>
  <si>
    <t>HCHB App - Hospice NOE Status Report</t>
  </si>
  <si>
    <t>ACACIA HEALTH HH &amp; PAL SCORECARD (Draft)</t>
  </si>
  <si>
    <t>(Start of Week) Weekly</t>
  </si>
  <si>
    <t>Weekly Admission</t>
  </si>
  <si>
    <t>45%-55%</t>
  </si>
  <si>
    <t>Discharge</t>
  </si>
  <si>
    <t>7% or below</t>
  </si>
  <si>
    <t>Transition to Hospice</t>
  </si>
  <si>
    <t>Transitioned to Hospice</t>
  </si>
  <si>
    <t>Conversion # from Palliative Tracker</t>
  </si>
  <si>
    <t>Total Care Type-Palliative</t>
  </si>
  <si>
    <t>HCHB App-Unduplicated Census Report at EOM</t>
  </si>
  <si>
    <t xml:space="preserve">From Care Type-Palliative only </t>
  </si>
  <si>
    <t>All HH minus Care Type-UCI</t>
  </si>
  <si>
    <t>From all HH minus Care Type Ortho</t>
  </si>
  <si>
    <t>fill in</t>
  </si>
  <si>
    <t>Executive Scorecard</t>
  </si>
  <si>
    <t>Current Census by Location &amp; Service Line</t>
  </si>
  <si>
    <t>Weekly Admissions by Location &amp; Service Line (add house category)</t>
  </si>
  <si>
    <t>Revenue per period</t>
  </si>
  <si>
    <t>Monthly</t>
  </si>
  <si>
    <t>Total Patient Days (HH &amp; HOS)</t>
  </si>
  <si>
    <t>Hospice - Length of Stay Report</t>
  </si>
  <si>
    <t>AVG Total LOS and by HCHB Location (HOS)</t>
  </si>
  <si>
    <t>Recert % (HH &amp; HOS)</t>
  </si>
  <si>
    <t># of recert / # of census</t>
  </si>
  <si>
    <t># of Live Discharges by location (HOS)</t>
  </si>
  <si>
    <t>Discharge Report</t>
  </si>
  <si>
    <t>Conversion Ratio by location AVG MTD (HH &amp; HOS)</t>
  </si>
  <si>
    <t>Lupa % (HH)</t>
  </si>
  <si>
    <t>PDGM LUPA Analysis Report; Analytics only show 30 days, not by week</t>
  </si>
  <si>
    <t>% Workers under 30 Points (FT employees only) (HH&amp;HOS)</t>
  </si>
  <si>
    <t>Field Operations/Field Productivity/Worker Points</t>
  </si>
  <si>
    <t>$ of Unbilled claims by Location and service line</t>
  </si>
  <si>
    <t>Custom/AR Aging by Patient</t>
  </si>
  <si>
    <t>Census per employee (Census/Employee) by location and service line</t>
  </si>
  <si>
    <t>??</t>
  </si>
  <si>
    <t>Outstanding AR over 90 days</t>
  </si>
  <si>
    <t>Executive Meeting Weds @ 2pm</t>
  </si>
  <si>
    <t>Data needs to be updated by end of day Tuesday for prior week #'s</t>
  </si>
  <si>
    <t>Ask Bryan for HCHB access</t>
  </si>
  <si>
    <t>Christina Godbee - Liason admission report by Liason include house accounts</t>
  </si>
  <si>
    <t>Hospice Administrator Scorecard</t>
  </si>
  <si>
    <t>Current Census:  Increase Net Census by 15% quarter over quarter</t>
  </si>
  <si>
    <t>ok</t>
  </si>
  <si>
    <t>Weekly Admissions: Increase Admissions 5% month over month</t>
  </si>
  <si>
    <r>
      <t xml:space="preserve">NTUC Rate: Less than 20%  (Admissions </t>
    </r>
    <r>
      <rPr>
        <sz val="14"/>
        <rFont val="Aptos Narrow"/>
        <family val="2"/>
      </rPr>
      <t>÷</t>
    </r>
    <r>
      <rPr>
        <sz val="14"/>
        <rFont val="Arial Narrow"/>
        <family val="2"/>
      </rPr>
      <t xml:space="preserve"> </t>
    </r>
    <r>
      <rPr>
        <sz val="10"/>
        <rFont val="Arial Narrow"/>
        <family val="2"/>
      </rPr>
      <t>Referrals)</t>
    </r>
  </si>
  <si>
    <t>Average Length of Stay: 100 days or less</t>
  </si>
  <si>
    <t>80% of new admissions BP1</t>
  </si>
  <si>
    <t>?</t>
  </si>
  <si>
    <t>DME PPD -  OC/IE/SGV: $7 / Low Desert: $7.25</t>
  </si>
  <si>
    <t>Monthly Financial</t>
  </si>
  <si>
    <t xml:space="preserve">Pharmacy PPD:  OC/SGV: $6 / IE: $6.50 / Low Desert: $7.50 </t>
  </si>
  <si>
    <t>Supplies PPD: All branches $5.50</t>
  </si>
  <si>
    <t>All Live Discharges: 7% or less per month</t>
  </si>
  <si>
    <t>Live DC's: Patient Initated: Revocations / Transfer to other hospice: 3% or less per month</t>
  </si>
  <si>
    <t>Live DC's:Hospice Initated: 4 % or less per month (ext. prognosis/Out of Area/DC for cause)</t>
  </si>
  <si>
    <t>100% QA Compliance: NOE/Non-covered/Transfer/F2F/Cert/Recert</t>
  </si>
  <si>
    <t>Billing Holds for previous month cleared by the (3rd) third day of the new month</t>
  </si>
  <si>
    <t xml:space="preserve">% Workers under 30 Points (FT employees only) </t>
  </si>
  <si>
    <t>OT: Needs to be less than 3% total payroll</t>
  </si>
  <si>
    <t>Maintain Gross Margin xx%</t>
  </si>
  <si>
    <t>Average time to admit less than 2 days from referral</t>
  </si>
  <si>
    <t xml:space="preserve">Green means Bryan L. has a Question in a comment </t>
  </si>
  <si>
    <t>Intake Conversion</t>
  </si>
  <si>
    <t>Analytics: Intake -Referral Conversion</t>
  </si>
  <si>
    <t xml:space="preserve">Billing Holds </t>
  </si>
  <si>
    <t>0% &gt;30 days</t>
  </si>
  <si>
    <t>Order Tracking (signed within 30days)</t>
  </si>
  <si>
    <t>Ana/Bryan</t>
  </si>
  <si>
    <t>Admins to fill in</t>
  </si>
  <si>
    <t>Chris and Bryan</t>
  </si>
  <si>
    <t>Doug</t>
  </si>
  <si>
    <t>Revenue per patient</t>
  </si>
  <si>
    <t>Oasis Exports - Timely Submission</t>
  </si>
  <si>
    <t>(Ana will enter source)</t>
  </si>
  <si>
    <t>NOA  - Timely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</si>
</sst>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8" formatCode="&quot;$&quot;#,##0.00_);[Red]\(&quot;$&quot;#,##0.00\)"/>
    <numFmt numFmtId="44" formatCode="_(&quot;$&quot;* #,##0.00_);_(&quot;$&quot;* \(#,##0.00\);_(&quot;$&quot;* &quot;-&quot;??_);_(@_)"/>
    <numFmt numFmtId="43" formatCode="_(* #,##0.00_);_(* \(#,##0.00\);_(* &quot;-&quot;??_);_(@_)"/>
    <numFmt numFmtId="164" formatCode="_(* #,##0.0_);_(* \(#,##0.0\);_(* &quot;-&quot;??_);_(@_)"/>
    <numFmt numFmtId="165" formatCode="_(&quot;$&quot;* #,##0_);_(&quot;$&quot;* \(#,##0\);_(&quot;$&quot;* &quot;-&quot;??_);_(@_)"/>
    <numFmt numFmtId="166" formatCode="_([$$-409]* #,##0_);_([$$-409]* \(#,##0\);_([$$-409]* &quot;-&quot;??_);_(@_)"/>
    <numFmt numFmtId="167" formatCode="0.0%"/>
    <numFmt numFmtId="168" formatCode="&quot;$&quot;#,##0.00"/>
    <numFmt numFmtId="169" formatCode="_([$$-409]* #,##0.00_);_([$$-409]* \(#,##0.00\);_([$$-409]* &quot;-&quot;??_);_(@_)"/>
    <numFmt numFmtId="170" formatCode="[$-409]mmm\-yy;@"/>
    <numFmt numFmtId="171" formatCode="_(* #,##0_);_(* \(#,##0\);_(* &quot;-&quot;??_);_(@_)"/>
    <numFmt numFmtId="172" formatCode="&quot;$&quot;#,##0"/>
  </numFmts>
  <fonts count="29">
    <font>
      <sz val="11"/>
      <color theme="1"/>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sz val="10"/>
      <color rgb="FF000000"/>
      <name val="Aptos Narrow"/>
      <family val="2"/>
      <scheme val="minor"/>
    </font>
    <font>
      <b/>
      <sz val="10"/>
      <color rgb="FF000000"/>
      <name val="Aptos Narrow"/>
      <family val="2"/>
      <scheme val="minor"/>
    </font>
    <font>
      <sz val="10"/>
      <name val="Aptos Narrow"/>
      <family val="2"/>
      <scheme val="minor"/>
    </font>
    <font>
      <b/>
      <sz val="12"/>
      <name val="Arial"/>
      <family val="2"/>
    </font>
    <font>
      <b/>
      <sz val="10"/>
      <name val="Arial"/>
      <family val="2"/>
    </font>
    <font>
      <sz val="11"/>
      <color theme="1"/>
      <name val="Aptos Narrow"/>
      <family val="2"/>
      <scheme val="minor"/>
    </font>
    <font>
      <sz val="10"/>
      <name val="Arial Narrow"/>
      <family val="2"/>
    </font>
    <font>
      <sz val="14"/>
      <name val="Aptos Narrow"/>
      <family val="2"/>
    </font>
    <font>
      <sz val="14"/>
      <name val="Arial Narrow"/>
      <family val="2"/>
    </font>
    <font>
      <sz val="10"/>
      <color rgb="FF000000"/>
      <name val="Arial Narrow"/>
      <family val="2"/>
    </font>
    <font>
      <sz val="10"/>
      <color theme="1"/>
      <name val="Arial Narrow"/>
      <family val="2"/>
    </font>
    <font>
      <sz val="11"/>
      <color rgb="FFFF0000"/>
      <name val="Aptos Narrow"/>
      <family val="2"/>
      <scheme val="minor"/>
    </font>
    <font>
      <sz val="11"/>
      <color theme="6"/>
      <name val="Aptos Narrow"/>
      <family val="2"/>
      <scheme val="minor"/>
    </font>
    <font>
      <b/>
      <sz val="11"/>
      <color theme="6"/>
      <name val="Aptos Narrow"/>
      <family val="2"/>
      <scheme val="minor"/>
    </font>
    <font>
      <b/>
      <sz val="10"/>
      <color theme="6"/>
      <name val="Arial"/>
      <family val="2"/>
    </font>
    <font>
      <b/>
      <sz val="12"/>
      <color theme="9" tint="-0.249977111117893"/>
      <name val="Arial"/>
      <family val="2"/>
    </font>
    <font>
      <b/>
      <sz val="10"/>
      <color theme="9" tint="-0.249977111117893"/>
      <name val="Arial"/>
      <family val="2"/>
    </font>
    <font>
      <b/>
      <sz val="11"/>
      <color theme="9" tint="-0.249977111117893"/>
      <name val="Aptos Narrow"/>
      <family val="2"/>
      <scheme val="minor"/>
    </font>
    <font>
      <sz val="11"/>
      <color theme="9" tint="-0.249977111117893"/>
      <name val="Aptos Narrow"/>
      <family val="2"/>
      <scheme val="minor"/>
    </font>
    <font>
      <sz val="11"/>
      <color rgb="FF000000"/>
      <name val="Aptos Narrow"/>
      <family val="2"/>
    </font>
    <font>
      <b/>
      <sz val="11"/>
      <color rgb="FF000000"/>
      <name val="Aptos Narrow"/>
      <family val="2"/>
    </font>
    <font>
      <sz val="10"/>
      <color rgb="FF000000"/>
      <name val="Arial"/>
      <family val="2"/>
    </font>
    <font>
      <b/>
      <sz val="12"/>
      <color theme="6"/>
      <name val="Arial"/>
      <family val="2"/>
    </font>
    <font>
      <b/>
      <u/>
      <sz val="12"/>
      <color rgb="FF000000"/>
      <name val="Aptos Narrow"/>
      <family val="2"/>
      <scheme val="minor"/>
    </font>
    <font>
      <sz val="11"/>
      <color rgb="FF000000"/>
      <name val="Aptos Narrow"/>
      <charset val="1"/>
    </font>
  </fonts>
  <fills count="15">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3" tint="0.8999908444471571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C000"/>
        <bgColor indexed="64"/>
      </patternFill>
    </fill>
    <fill>
      <patternFill patternType="solid">
        <fgColor theme="1"/>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right style="thin">
        <color indexed="64"/>
      </right>
      <top style="medium">
        <color rgb="FF000000"/>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rgb="FF000000"/>
      </right>
      <top style="thin">
        <color indexed="64"/>
      </top>
      <bottom style="thin">
        <color indexed="64"/>
      </bottom>
      <diagonal/>
    </border>
    <border>
      <left/>
      <right/>
      <top/>
      <bottom style="medium">
        <color rgb="FF000000"/>
      </bottom>
      <diagonal/>
    </border>
    <border>
      <left/>
      <right style="thick">
        <color rgb="FF000000"/>
      </right>
      <top style="medium">
        <color rgb="FF000000"/>
      </top>
      <bottom style="medium">
        <color indexed="64"/>
      </bottom>
      <diagonal/>
    </border>
    <border>
      <left/>
      <right style="thick">
        <color rgb="FF000000"/>
      </right>
      <top/>
      <bottom/>
      <diagonal/>
    </border>
    <border>
      <left style="thick">
        <color rgb="FF000000"/>
      </left>
      <right style="thin">
        <color indexed="64"/>
      </right>
      <top style="medium">
        <color rgb="FF000000"/>
      </top>
      <bottom style="medium">
        <color indexed="64"/>
      </bottom>
      <diagonal/>
    </border>
    <border>
      <left style="thick">
        <color rgb="FF000000"/>
      </left>
      <right/>
      <top/>
      <bottom/>
      <diagonal/>
    </border>
    <border>
      <left/>
      <right/>
      <top style="medium">
        <color rgb="FF000000"/>
      </top>
      <bottom style="medium">
        <color indexed="64"/>
      </bottom>
      <diagonal/>
    </border>
    <border>
      <left style="thick">
        <color rgb="FF000000"/>
      </left>
      <right style="thick">
        <color rgb="FF000000"/>
      </right>
      <top style="medium">
        <color rgb="FF000000"/>
      </top>
      <bottom style="medium">
        <color indexed="64"/>
      </bottom>
      <diagonal/>
    </border>
    <border>
      <left style="thick">
        <color rgb="FF000000"/>
      </left>
      <right style="thick">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bottom style="medium">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ck">
        <color rgb="FF000000"/>
      </left>
      <right style="thick">
        <color rgb="FF000000"/>
      </right>
      <top style="thick">
        <color rgb="FF000000"/>
      </top>
      <bottom style="medium">
        <color indexed="64"/>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style="thin">
        <color indexed="64"/>
      </right>
      <top style="medium">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right/>
      <top/>
      <bottom style="medium">
        <color indexed="64"/>
      </bottom>
      <diagonal/>
    </border>
    <border>
      <left style="thick">
        <color rgb="FF000000"/>
      </left>
      <right style="thick">
        <color rgb="FF000000"/>
      </right>
      <top/>
      <bottom style="thick">
        <color rgb="FF000000"/>
      </bottom>
      <diagonal/>
    </border>
  </borders>
  <cellStyleXfs count="4">
    <xf numFmtId="0" fontId="0" fillId="0" borderId="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cellStyleXfs>
  <cellXfs count="36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xf>
    <xf numFmtId="0" fontId="5" fillId="2" borderId="1" xfId="0" applyFont="1" applyFill="1" applyBorder="1"/>
    <xf numFmtId="0" fontId="4" fillId="2" borderId="1" xfId="0" applyFont="1" applyFill="1" applyBorder="1"/>
    <xf numFmtId="0" fontId="6" fillId="2" borderId="1" xfId="0" applyFont="1" applyFill="1" applyBorder="1"/>
    <xf numFmtId="0" fontId="8" fillId="3" borderId="2" xfId="0" applyFont="1" applyFill="1" applyBorder="1" applyAlignment="1">
      <alignment horizontal="center"/>
    </xf>
    <xf numFmtId="14" fontId="8" fillId="3" borderId="2" xfId="0" applyNumberFormat="1" applyFont="1" applyFill="1" applyBorder="1" applyAlignment="1">
      <alignment horizontal="center"/>
    </xf>
    <xf numFmtId="0" fontId="1" fillId="0" borderId="0" xfId="0" applyFont="1"/>
    <xf numFmtId="0" fontId="1" fillId="4" borderId="0" xfId="0" applyFont="1" applyFill="1"/>
    <xf numFmtId="0" fontId="0" fillId="4" borderId="0" xfId="0" applyFill="1"/>
    <xf numFmtId="9" fontId="0" fillId="0" borderId="0" xfId="3" applyFont="1"/>
    <xf numFmtId="9" fontId="0" fillId="4" borderId="0" xfId="3" applyFont="1" applyFill="1"/>
    <xf numFmtId="166" fontId="0" fillId="0" borderId="0" xfId="0" applyNumberFormat="1"/>
    <xf numFmtId="167" fontId="0" fillId="0" borderId="0" xfId="0" applyNumberFormat="1"/>
    <xf numFmtId="0" fontId="10" fillId="0" borderId="3" xfId="0" applyFont="1" applyBorder="1"/>
    <xf numFmtId="0" fontId="13" fillId="0" borderId="3" xfId="0" applyFont="1" applyBorder="1" applyAlignment="1">
      <alignment vertical="center" readingOrder="1"/>
    </xf>
    <xf numFmtId="0" fontId="10" fillId="0" borderId="3" xfId="0" applyFont="1" applyBorder="1" applyAlignment="1">
      <alignment wrapText="1"/>
    </xf>
    <xf numFmtId="0" fontId="14" fillId="0" borderId="3" xfId="0" applyFont="1" applyBorder="1"/>
    <xf numFmtId="0" fontId="13" fillId="0" borderId="3" xfId="0" applyFont="1" applyBorder="1"/>
    <xf numFmtId="0" fontId="13" fillId="0" borderId="4" xfId="0" applyFont="1" applyBorder="1" applyAlignment="1">
      <alignment horizontal="center"/>
    </xf>
    <xf numFmtId="0" fontId="13" fillId="0" borderId="5" xfId="0" applyFont="1" applyBorder="1" applyAlignment="1">
      <alignment horizontal="center"/>
    </xf>
    <xf numFmtId="0" fontId="13" fillId="0" borderId="3" xfId="0" applyFont="1" applyBorder="1" applyAlignment="1">
      <alignment horizontal="center"/>
    </xf>
    <xf numFmtId="0" fontId="14" fillId="0" borderId="3" xfId="0" applyFont="1" applyBorder="1" applyAlignment="1">
      <alignment horizontal="center"/>
    </xf>
    <xf numFmtId="0" fontId="10" fillId="0" borderId="6" xfId="0" applyFont="1" applyBorder="1"/>
    <xf numFmtId="9" fontId="0" fillId="0" borderId="0" xfId="0" applyNumberFormat="1"/>
    <xf numFmtId="0" fontId="13" fillId="5" borderId="3" xfId="0" applyFont="1" applyFill="1" applyBorder="1" applyAlignment="1">
      <alignment vertical="center" readingOrder="1"/>
    </xf>
    <xf numFmtId="0" fontId="14" fillId="5" borderId="3" xfId="0" applyFont="1" applyFill="1" applyBorder="1"/>
    <xf numFmtId="1" fontId="0" fillId="0" borderId="0" xfId="0" applyNumberFormat="1"/>
    <xf numFmtId="0" fontId="16" fillId="0" borderId="0" xfId="0" applyFont="1" applyAlignment="1">
      <alignment horizontal="center"/>
    </xf>
    <xf numFmtId="0" fontId="18" fillId="3" borderId="2" xfId="0" applyFont="1" applyFill="1" applyBorder="1" applyAlignment="1">
      <alignment horizontal="center"/>
    </xf>
    <xf numFmtId="0" fontId="7" fillId="0" borderId="0" xfId="0" applyFont="1" applyAlignment="1">
      <alignment wrapText="1"/>
    </xf>
    <xf numFmtId="0" fontId="18" fillId="4" borderId="0" xfId="0" applyFont="1" applyFill="1" applyAlignment="1">
      <alignment horizontal="center"/>
    </xf>
    <xf numFmtId="0" fontId="17" fillId="0" borderId="0" xfId="0" applyFont="1" applyAlignment="1">
      <alignment horizontal="center"/>
    </xf>
    <xf numFmtId="9" fontId="16" fillId="0" borderId="0" xfId="0" applyNumberFormat="1" applyFont="1" applyAlignment="1">
      <alignment horizontal="center"/>
    </xf>
    <xf numFmtId="0" fontId="17" fillId="4" borderId="0" xfId="0" applyFont="1" applyFill="1" applyAlignment="1">
      <alignment horizontal="center"/>
    </xf>
    <xf numFmtId="1" fontId="16" fillId="0" borderId="0" xfId="0" applyNumberFormat="1" applyFont="1" applyAlignment="1">
      <alignment horizontal="center"/>
    </xf>
    <xf numFmtId="167" fontId="16" fillId="0" borderId="0" xfId="0" applyNumberFormat="1" applyFont="1" applyAlignment="1">
      <alignment horizontal="center"/>
    </xf>
    <xf numFmtId="0" fontId="0" fillId="0" borderId="0" xfId="0" applyAlignment="1">
      <alignment wrapText="1"/>
    </xf>
    <xf numFmtId="0" fontId="0" fillId="0" borderId="0" xfId="0" applyAlignment="1">
      <alignment horizontal="center"/>
    </xf>
    <xf numFmtId="0" fontId="0" fillId="4" borderId="0" xfId="0" applyFill="1" applyAlignment="1">
      <alignment horizontal="center"/>
    </xf>
    <xf numFmtId="166" fontId="0" fillId="0" borderId="0" xfId="0" applyNumberFormat="1" applyAlignment="1">
      <alignment horizontal="center"/>
    </xf>
    <xf numFmtId="0" fontId="1" fillId="0" borderId="0" xfId="0" applyFont="1" applyAlignment="1">
      <alignment horizontal="center"/>
    </xf>
    <xf numFmtId="9" fontId="0" fillId="0" borderId="0" xfId="3" applyFont="1" applyAlignment="1">
      <alignment horizontal="center"/>
    </xf>
    <xf numFmtId="1" fontId="0" fillId="0" borderId="0" xfId="0" applyNumberFormat="1" applyAlignment="1">
      <alignment horizontal="center"/>
    </xf>
    <xf numFmtId="167" fontId="0" fillId="0" borderId="0" xfId="0" applyNumberFormat="1" applyAlignment="1">
      <alignment horizontal="center"/>
    </xf>
    <xf numFmtId="9" fontId="0" fillId="4" borderId="0" xfId="3" applyFont="1" applyFill="1" applyAlignment="1">
      <alignment horizontal="center"/>
    </xf>
    <xf numFmtId="9" fontId="0" fillId="0" borderId="0" xfId="0" applyNumberFormat="1" applyAlignment="1">
      <alignment horizontal="center"/>
    </xf>
    <xf numFmtId="0" fontId="8" fillId="3" borderId="2" xfId="0" applyFont="1" applyFill="1" applyBorder="1" applyAlignment="1">
      <alignment horizontal="center" wrapText="1"/>
    </xf>
    <xf numFmtId="0" fontId="1" fillId="4" borderId="0" xfId="0" applyFont="1" applyFill="1" applyAlignment="1">
      <alignment wrapText="1"/>
    </xf>
    <xf numFmtId="0" fontId="1" fillId="0" borderId="0" xfId="0" applyFont="1" applyAlignment="1">
      <alignment wrapText="1"/>
    </xf>
    <xf numFmtId="9" fontId="1" fillId="0" borderId="0" xfId="0" applyNumberFormat="1" applyFont="1" applyAlignment="1">
      <alignment wrapText="1"/>
    </xf>
    <xf numFmtId="0" fontId="20" fillId="3" borderId="2" xfId="0" applyFont="1" applyFill="1" applyBorder="1" applyAlignment="1">
      <alignment horizontal="center"/>
    </xf>
    <xf numFmtId="0" fontId="20" fillId="4" borderId="0" xfId="0" applyFont="1" applyFill="1" applyAlignment="1">
      <alignment horizontal="center"/>
    </xf>
    <xf numFmtId="0" fontId="19" fillId="0" borderId="0" xfId="0" applyFont="1" applyAlignment="1">
      <alignment horizontal="center"/>
    </xf>
    <xf numFmtId="0" fontId="22" fillId="0" borderId="0" xfId="0" applyFont="1" applyAlignment="1">
      <alignment horizontal="center"/>
    </xf>
    <xf numFmtId="0" fontId="21" fillId="0" borderId="0" xfId="0" applyFont="1" applyAlignment="1">
      <alignment horizontal="center"/>
    </xf>
    <xf numFmtId="9" fontId="22" fillId="0" borderId="0" xfId="0" applyNumberFormat="1" applyFont="1" applyAlignment="1">
      <alignment horizontal="center"/>
    </xf>
    <xf numFmtId="168" fontId="22" fillId="0" borderId="0" xfId="0" applyNumberFormat="1" applyFont="1" applyAlignment="1">
      <alignment horizontal="center"/>
    </xf>
    <xf numFmtId="167" fontId="22" fillId="0" borderId="0" xfId="0" applyNumberFormat="1" applyFont="1" applyAlignment="1">
      <alignment horizontal="center"/>
    </xf>
    <xf numFmtId="169" fontId="0" fillId="0" borderId="0" xfId="0" applyNumberFormat="1"/>
    <xf numFmtId="167" fontId="0" fillId="6" borderId="0" xfId="0" applyNumberFormat="1" applyFill="1" applyAlignment="1">
      <alignment horizontal="center"/>
    </xf>
    <xf numFmtId="1" fontId="1" fillId="0" borderId="0" xfId="0" applyNumberFormat="1" applyFont="1" applyAlignment="1">
      <alignment horizontal="center"/>
    </xf>
    <xf numFmtId="0" fontId="0" fillId="5" borderId="0" xfId="0" applyFill="1"/>
    <xf numFmtId="3" fontId="0" fillId="0" borderId="0" xfId="3" applyNumberFormat="1" applyFont="1" applyAlignment="1">
      <alignment horizontal="center"/>
    </xf>
    <xf numFmtId="170" fontId="8" fillId="7" borderId="2" xfId="0" applyNumberFormat="1" applyFont="1" applyFill="1" applyBorder="1" applyAlignment="1">
      <alignment horizontal="center"/>
    </xf>
    <xf numFmtId="170" fontId="8" fillId="7" borderId="8" xfId="0" applyNumberFormat="1" applyFont="1" applyFill="1" applyBorder="1" applyAlignment="1">
      <alignment horizontal="center"/>
    </xf>
    <xf numFmtId="0" fontId="0" fillId="4" borderId="9" xfId="0" applyFill="1" applyBorder="1" applyAlignment="1">
      <alignment horizontal="center"/>
    </xf>
    <xf numFmtId="166" fontId="0" fillId="0" borderId="9" xfId="0" applyNumberFormat="1" applyBorder="1" applyAlignment="1">
      <alignment horizontal="center"/>
    </xf>
    <xf numFmtId="1" fontId="0" fillId="0" borderId="9" xfId="0" applyNumberFormat="1" applyBorder="1" applyAlignment="1">
      <alignment horizontal="center"/>
    </xf>
    <xf numFmtId="1" fontId="1" fillId="0" borderId="9" xfId="0" applyNumberFormat="1" applyFont="1" applyBorder="1" applyAlignment="1">
      <alignment horizontal="center"/>
    </xf>
    <xf numFmtId="3" fontId="0" fillId="0" borderId="0" xfId="3" applyNumberFormat="1" applyFont="1" applyBorder="1" applyAlignment="1">
      <alignment horizontal="center"/>
    </xf>
    <xf numFmtId="3" fontId="0" fillId="0" borderId="9" xfId="3" applyNumberFormat="1" applyFont="1" applyBorder="1" applyAlignment="1">
      <alignment horizontal="center"/>
    </xf>
    <xf numFmtId="0" fontId="0" fillId="0" borderId="9" xfId="0" applyBorder="1" applyAlignment="1">
      <alignment horizontal="center"/>
    </xf>
    <xf numFmtId="167" fontId="0" fillId="0" borderId="9" xfId="0" applyNumberFormat="1" applyBorder="1" applyAlignment="1">
      <alignment horizontal="center"/>
    </xf>
    <xf numFmtId="9" fontId="0" fillId="0" borderId="0" xfId="3" applyFont="1" applyBorder="1" applyAlignment="1">
      <alignment horizontal="center"/>
    </xf>
    <xf numFmtId="9" fontId="0" fillId="0" borderId="9" xfId="3" applyFont="1" applyBorder="1" applyAlignment="1">
      <alignment horizontal="center"/>
    </xf>
    <xf numFmtId="9" fontId="0" fillId="4" borderId="0" xfId="3" applyFont="1" applyFill="1" applyBorder="1" applyAlignment="1">
      <alignment horizontal="center"/>
    </xf>
    <xf numFmtId="9" fontId="0" fillId="4" borderId="9" xfId="3" applyFont="1" applyFill="1" applyBorder="1" applyAlignment="1">
      <alignment horizontal="center"/>
    </xf>
    <xf numFmtId="170" fontId="8" fillId="7" borderId="10" xfId="0" applyNumberFormat="1" applyFont="1" applyFill="1" applyBorder="1" applyAlignment="1">
      <alignment horizontal="center"/>
    </xf>
    <xf numFmtId="0" fontId="0" fillId="4" borderId="11" xfId="0" applyFill="1" applyBorder="1" applyAlignment="1">
      <alignment horizontal="center"/>
    </xf>
    <xf numFmtId="166" fontId="0" fillId="0" borderId="11" xfId="0" applyNumberFormat="1" applyBorder="1" applyAlignment="1">
      <alignment horizontal="center"/>
    </xf>
    <xf numFmtId="1" fontId="0" fillId="0" borderId="11" xfId="0" applyNumberFormat="1" applyBorder="1" applyAlignment="1">
      <alignment horizontal="center"/>
    </xf>
    <xf numFmtId="1" fontId="1" fillId="0" borderId="11" xfId="0" applyNumberFormat="1" applyFont="1" applyBorder="1" applyAlignment="1">
      <alignment horizontal="center"/>
    </xf>
    <xf numFmtId="3" fontId="0" fillId="0" borderId="11" xfId="3" applyNumberFormat="1" applyFont="1" applyBorder="1" applyAlignment="1">
      <alignment horizontal="center"/>
    </xf>
    <xf numFmtId="9" fontId="0" fillId="0" borderId="11" xfId="0" applyNumberFormat="1" applyBorder="1" applyAlignment="1">
      <alignment horizontal="center"/>
    </xf>
    <xf numFmtId="0" fontId="0" fillId="0" borderId="11" xfId="0" applyBorder="1" applyAlignment="1">
      <alignment horizontal="center"/>
    </xf>
    <xf numFmtId="167" fontId="0" fillId="0" borderId="11" xfId="0" applyNumberFormat="1" applyBorder="1" applyAlignment="1">
      <alignment horizontal="center"/>
    </xf>
    <xf numFmtId="9" fontId="0" fillId="0" borderId="11" xfId="3" applyFont="1" applyBorder="1" applyAlignment="1">
      <alignment horizontal="center"/>
    </xf>
    <xf numFmtId="9" fontId="0" fillId="4" borderId="11" xfId="3" applyFont="1" applyFill="1" applyBorder="1" applyAlignment="1">
      <alignment horizontal="center"/>
    </xf>
    <xf numFmtId="165" fontId="0" fillId="0" borderId="11" xfId="2" applyNumberFormat="1" applyFont="1" applyBorder="1" applyAlignment="1">
      <alignment horizontal="center"/>
    </xf>
    <xf numFmtId="0" fontId="8" fillId="3" borderId="12" xfId="0" applyFont="1" applyFill="1" applyBorder="1" applyAlignment="1">
      <alignment horizontal="center"/>
    </xf>
    <xf numFmtId="171" fontId="0" fillId="0" borderId="0" xfId="0" applyNumberFormat="1" applyAlignment="1">
      <alignment horizontal="center"/>
    </xf>
    <xf numFmtId="171" fontId="0" fillId="0" borderId="9" xfId="0" applyNumberFormat="1" applyBorder="1" applyAlignment="1">
      <alignment horizontal="center"/>
    </xf>
    <xf numFmtId="171" fontId="0" fillId="0" borderId="11" xfId="0" applyNumberFormat="1" applyBorder="1" applyAlignment="1">
      <alignment horizontal="center"/>
    </xf>
    <xf numFmtId="171" fontId="1" fillId="0" borderId="11" xfId="0" applyNumberFormat="1" applyFont="1" applyBorder="1" applyAlignment="1">
      <alignment horizontal="center"/>
    </xf>
    <xf numFmtId="171" fontId="1" fillId="0" borderId="0" xfId="0" applyNumberFormat="1" applyFont="1" applyAlignment="1">
      <alignment horizontal="center"/>
    </xf>
    <xf numFmtId="171" fontId="1" fillId="0" borderId="9" xfId="0" applyNumberFormat="1" applyFont="1" applyBorder="1" applyAlignment="1">
      <alignment horizontal="center"/>
    </xf>
    <xf numFmtId="14" fontId="8" fillId="3" borderId="12" xfId="0" applyNumberFormat="1" applyFont="1" applyFill="1" applyBorder="1" applyAlignment="1">
      <alignment horizontal="center"/>
    </xf>
    <xf numFmtId="170" fontId="8" fillId="7" borderId="13" xfId="0" applyNumberFormat="1" applyFont="1" applyFill="1" applyBorder="1" applyAlignment="1">
      <alignment horizontal="center"/>
    </xf>
    <xf numFmtId="0" fontId="0" fillId="4" borderId="14" xfId="0" applyFill="1" applyBorder="1" applyAlignment="1">
      <alignment horizontal="center"/>
    </xf>
    <xf numFmtId="166" fontId="0" fillId="0" borderId="14" xfId="0" applyNumberFormat="1" applyBorder="1" applyAlignment="1">
      <alignment horizontal="center"/>
    </xf>
    <xf numFmtId="1" fontId="0" fillId="0" borderId="14" xfId="0" applyNumberFormat="1" applyBorder="1" applyAlignment="1">
      <alignment horizontal="center"/>
    </xf>
    <xf numFmtId="1" fontId="1" fillId="0" borderId="14" xfId="0" applyNumberFormat="1" applyFont="1" applyBorder="1" applyAlignment="1">
      <alignment horizontal="center"/>
    </xf>
    <xf numFmtId="3" fontId="0" fillId="0" borderId="14" xfId="3" applyNumberFormat="1" applyFont="1" applyBorder="1" applyAlignment="1">
      <alignment horizontal="center"/>
    </xf>
    <xf numFmtId="0" fontId="0" fillId="0" borderId="14" xfId="0" applyBorder="1" applyAlignment="1">
      <alignment horizontal="center"/>
    </xf>
    <xf numFmtId="167" fontId="0" fillId="0" borderId="14" xfId="0" applyNumberFormat="1" applyBorder="1" applyAlignment="1">
      <alignment horizontal="center"/>
    </xf>
    <xf numFmtId="9" fontId="0" fillId="0" borderId="14" xfId="3" applyFont="1" applyBorder="1" applyAlignment="1">
      <alignment horizontal="center"/>
    </xf>
    <xf numFmtId="9" fontId="0" fillId="4" borderId="14" xfId="3" applyFont="1" applyFill="1" applyBorder="1" applyAlignment="1">
      <alignment horizontal="center"/>
    </xf>
    <xf numFmtId="0" fontId="0" fillId="4" borderId="14" xfId="0" applyFill="1" applyBorder="1"/>
    <xf numFmtId="0" fontId="0" fillId="0" borderId="14" xfId="0" applyBorder="1"/>
    <xf numFmtId="0" fontId="1" fillId="0" borderId="14" xfId="0" applyFont="1" applyBorder="1" applyAlignment="1">
      <alignment horizontal="center"/>
    </xf>
    <xf numFmtId="9" fontId="0" fillId="0" borderId="14" xfId="3" applyFont="1" applyBorder="1"/>
    <xf numFmtId="9" fontId="0" fillId="4" borderId="14" xfId="3" applyFont="1" applyFill="1" applyBorder="1"/>
    <xf numFmtId="166" fontId="0" fillId="0" borderId="14" xfId="0" applyNumberFormat="1" applyBorder="1"/>
    <xf numFmtId="0" fontId="18" fillId="0" borderId="0" xfId="0" applyFont="1" applyAlignment="1">
      <alignment horizontal="center"/>
    </xf>
    <xf numFmtId="169" fontId="0" fillId="0" borderId="11" xfId="0" applyNumberFormat="1" applyBorder="1" applyAlignment="1">
      <alignment horizontal="right"/>
    </xf>
    <xf numFmtId="169" fontId="0" fillId="0" borderId="0" xfId="0" applyNumberFormat="1" applyAlignment="1">
      <alignment horizontal="right"/>
    </xf>
    <xf numFmtId="169" fontId="0" fillId="0" borderId="9" xfId="0" applyNumberFormat="1" applyBorder="1" applyAlignment="1">
      <alignment horizontal="right"/>
    </xf>
    <xf numFmtId="171" fontId="0" fillId="0" borderId="14" xfId="0" applyNumberFormat="1" applyBorder="1" applyAlignment="1">
      <alignment horizontal="center"/>
    </xf>
    <xf numFmtId="171" fontId="0" fillId="0" borderId="14" xfId="0" applyNumberFormat="1" applyBorder="1"/>
    <xf numFmtId="171" fontId="1" fillId="0" borderId="14" xfId="0" applyNumberFormat="1" applyFont="1" applyBorder="1"/>
    <xf numFmtId="171" fontId="0" fillId="0" borderId="0" xfId="0" applyNumberFormat="1" applyAlignment="1">
      <alignment wrapText="1"/>
    </xf>
    <xf numFmtId="171" fontId="22" fillId="0" borderId="0" xfId="0" applyNumberFormat="1" applyFont="1" applyAlignment="1">
      <alignment horizontal="center"/>
    </xf>
    <xf numFmtId="171" fontId="0" fillId="0" borderId="0" xfId="0" applyNumberFormat="1"/>
    <xf numFmtId="171" fontId="1" fillId="0" borderId="0" xfId="0" applyNumberFormat="1" applyFont="1" applyAlignment="1">
      <alignment wrapText="1"/>
    </xf>
    <xf numFmtId="171" fontId="1" fillId="0" borderId="0" xfId="0" applyNumberFormat="1" applyFont="1"/>
    <xf numFmtId="169" fontId="0" fillId="4" borderId="0" xfId="0" applyNumberFormat="1" applyFill="1"/>
    <xf numFmtId="0" fontId="18" fillId="4" borderId="0" xfId="0" applyFont="1" applyFill="1" applyAlignment="1">
      <alignment horizontal="center" wrapText="1"/>
    </xf>
    <xf numFmtId="0" fontId="16" fillId="4" borderId="0" xfId="0" applyFont="1" applyFill="1" applyAlignment="1">
      <alignment horizontal="center"/>
    </xf>
    <xf numFmtId="166" fontId="0" fillId="4" borderId="0" xfId="0" applyNumberFormat="1" applyFill="1" applyAlignment="1">
      <alignment horizontal="center"/>
    </xf>
    <xf numFmtId="166" fontId="0" fillId="4" borderId="9" xfId="0" applyNumberFormat="1" applyFill="1" applyBorder="1" applyAlignment="1">
      <alignment horizontal="center"/>
    </xf>
    <xf numFmtId="166" fontId="0" fillId="4" borderId="14" xfId="0" applyNumberFormat="1" applyFill="1" applyBorder="1" applyAlignment="1">
      <alignment horizontal="center"/>
    </xf>
    <xf numFmtId="166" fontId="0" fillId="4" borderId="0" xfId="0" applyNumberFormat="1" applyFill="1"/>
    <xf numFmtId="166" fontId="0" fillId="4" borderId="14" xfId="0" applyNumberFormat="1" applyFill="1" applyBorder="1"/>
    <xf numFmtId="165" fontId="1" fillId="0" borderId="11" xfId="2" applyNumberFormat="1" applyFont="1" applyBorder="1" applyAlignment="1">
      <alignment horizontal="center"/>
    </xf>
    <xf numFmtId="166" fontId="1" fillId="0" borderId="0" xfId="0" applyNumberFormat="1" applyFont="1" applyAlignment="1">
      <alignment horizontal="center"/>
    </xf>
    <xf numFmtId="166" fontId="1" fillId="0" borderId="9" xfId="0" applyNumberFormat="1" applyFont="1" applyBorder="1" applyAlignment="1">
      <alignment horizontal="center"/>
    </xf>
    <xf numFmtId="166" fontId="1" fillId="0" borderId="14" xfId="0" applyNumberFormat="1" applyFont="1" applyBorder="1" applyAlignment="1">
      <alignment horizontal="center"/>
    </xf>
    <xf numFmtId="166" fontId="1" fillId="0" borderId="0" xfId="0" applyNumberFormat="1" applyFont="1"/>
    <xf numFmtId="166" fontId="1" fillId="0" borderId="14" xfId="0" applyNumberFormat="1" applyFont="1" applyBorder="1"/>
    <xf numFmtId="1" fontId="1" fillId="0" borderId="0" xfId="0" applyNumberFormat="1" applyFont="1"/>
    <xf numFmtId="3" fontId="0" fillId="0" borderId="0" xfId="3" applyNumberFormat="1" applyFont="1" applyAlignment="1"/>
    <xf numFmtId="171" fontId="1" fillId="6" borderId="0" xfId="0" applyNumberFormat="1" applyFont="1" applyFill="1"/>
    <xf numFmtId="0" fontId="0" fillId="0" borderId="11" xfId="0" applyBorder="1"/>
    <xf numFmtId="1" fontId="0" fillId="0" borderId="11" xfId="0" applyNumberFormat="1" applyBorder="1"/>
    <xf numFmtId="9" fontId="0" fillId="0" borderId="0" xfId="3" applyFont="1" applyAlignment="1"/>
    <xf numFmtId="9" fontId="0" fillId="4" borderId="0" xfId="3" applyFont="1" applyFill="1" applyAlignment="1"/>
    <xf numFmtId="171" fontId="1" fillId="0" borderId="14" xfId="0" applyNumberFormat="1" applyFont="1" applyBorder="1" applyAlignment="1">
      <alignment horizontal="center"/>
    </xf>
    <xf numFmtId="0" fontId="0" fillId="4" borderId="15" xfId="0" applyFill="1" applyBorder="1"/>
    <xf numFmtId="171" fontId="0" fillId="0" borderId="16" xfId="0" applyNumberFormat="1" applyBorder="1"/>
    <xf numFmtId="171" fontId="1" fillId="0" borderId="16" xfId="0" applyNumberFormat="1" applyFont="1" applyBorder="1"/>
    <xf numFmtId="0" fontId="0" fillId="4" borderId="16" xfId="0" applyFill="1" applyBorder="1"/>
    <xf numFmtId="0" fontId="0" fillId="0" borderId="16" xfId="0" applyBorder="1"/>
    <xf numFmtId="9" fontId="0" fillId="0" borderId="16" xfId="0" applyNumberFormat="1" applyBorder="1"/>
    <xf numFmtId="1" fontId="0" fillId="0" borderId="16" xfId="0" applyNumberFormat="1" applyBorder="1"/>
    <xf numFmtId="9" fontId="0" fillId="0" borderId="16" xfId="3" applyFont="1" applyBorder="1"/>
    <xf numFmtId="9" fontId="0" fillId="4" borderId="16" xfId="3" applyFont="1" applyFill="1" applyBorder="1"/>
    <xf numFmtId="170" fontId="8" fillId="7" borderId="17" xfId="0" applyNumberFormat="1" applyFont="1" applyFill="1" applyBorder="1" applyAlignment="1">
      <alignment horizontal="center"/>
    </xf>
    <xf numFmtId="0" fontId="1" fillId="0" borderId="16" xfId="0" applyFont="1" applyBorder="1"/>
    <xf numFmtId="167" fontId="0" fillId="0" borderId="16" xfId="0" applyNumberFormat="1" applyBorder="1"/>
    <xf numFmtId="9" fontId="0" fillId="0" borderId="0" xfId="3" applyFont="1" applyAlignment="1">
      <alignment horizontal="right"/>
    </xf>
    <xf numFmtId="171" fontId="0" fillId="4" borderId="14" xfId="0" applyNumberFormat="1" applyFill="1" applyBorder="1" applyAlignment="1">
      <alignment horizontal="center"/>
    </xf>
    <xf numFmtId="14" fontId="8" fillId="3" borderId="2" xfId="0" applyNumberFormat="1" applyFont="1" applyFill="1" applyBorder="1" applyAlignment="1">
      <alignment horizontal="center" wrapText="1"/>
    </xf>
    <xf numFmtId="169" fontId="0" fillId="4" borderId="16" xfId="0" applyNumberFormat="1" applyFill="1" applyBorder="1"/>
    <xf numFmtId="0" fontId="0" fillId="0" borderId="18" xfId="0" applyBorder="1"/>
    <xf numFmtId="170" fontId="8" fillId="7" borderId="15" xfId="0" applyNumberFormat="1" applyFont="1" applyFill="1" applyBorder="1" applyAlignment="1">
      <alignment horizontal="center"/>
    </xf>
    <xf numFmtId="169" fontId="0" fillId="0" borderId="16" xfId="0" applyNumberFormat="1" applyBorder="1"/>
    <xf numFmtId="38" fontId="0" fillId="0" borderId="0" xfId="0" applyNumberFormat="1"/>
    <xf numFmtId="169" fontId="8" fillId="3" borderId="2" xfId="0" applyNumberFormat="1" applyFont="1" applyFill="1" applyBorder="1" applyAlignment="1">
      <alignment horizontal="center" wrapText="1"/>
    </xf>
    <xf numFmtId="0" fontId="1" fillId="9" borderId="0" xfId="0" applyFont="1" applyFill="1"/>
    <xf numFmtId="0" fontId="0" fillId="9" borderId="0" xfId="0" applyFill="1"/>
    <xf numFmtId="38" fontId="0" fillId="9" borderId="0" xfId="0" applyNumberFormat="1" applyFill="1"/>
    <xf numFmtId="169" fontId="0" fillId="9" borderId="0" xfId="0" applyNumberFormat="1" applyFill="1"/>
    <xf numFmtId="171" fontId="0" fillId="0" borderId="14" xfId="0" applyNumberFormat="1" applyBorder="1" applyAlignment="1">
      <alignment horizontal="right"/>
    </xf>
    <xf numFmtId="169" fontId="0" fillId="0" borderId="14" xfId="0" applyNumberFormat="1" applyBorder="1" applyAlignment="1">
      <alignment horizontal="center"/>
    </xf>
    <xf numFmtId="0" fontId="23" fillId="0" borderId="0" xfId="0" applyFont="1"/>
    <xf numFmtId="0" fontId="23" fillId="3" borderId="19" xfId="0" applyFont="1" applyFill="1" applyBorder="1"/>
    <xf numFmtId="0" fontId="23" fillId="3" borderId="21" xfId="0" applyFont="1" applyFill="1" applyBorder="1"/>
    <xf numFmtId="0" fontId="23" fillId="0" borderId="21" xfId="0" applyFont="1" applyBorder="1"/>
    <xf numFmtId="2" fontId="23" fillId="10" borderId="1" xfId="0" applyNumberFormat="1" applyFont="1" applyFill="1" applyBorder="1"/>
    <xf numFmtId="2" fontId="23" fillId="0" borderId="1" xfId="0" applyNumberFormat="1" applyFont="1" applyBorder="1"/>
    <xf numFmtId="8" fontId="23" fillId="3" borderId="22" xfId="0" applyNumberFormat="1" applyFont="1" applyFill="1" applyBorder="1"/>
    <xf numFmtId="8" fontId="23" fillId="3" borderId="23" xfId="0" applyNumberFormat="1" applyFont="1" applyFill="1" applyBorder="1"/>
    <xf numFmtId="0" fontId="24" fillId="0" borderId="0" xfId="0" applyFont="1"/>
    <xf numFmtId="6" fontId="23" fillId="3" borderId="23" xfId="0" applyNumberFormat="1" applyFont="1" applyFill="1" applyBorder="1"/>
    <xf numFmtId="6" fontId="23" fillId="0" borderId="23" xfId="0" applyNumberFormat="1" applyFont="1" applyBorder="1"/>
    <xf numFmtId="6" fontId="23" fillId="3" borderId="19" xfId="0" applyNumberFormat="1" applyFont="1" applyFill="1" applyBorder="1"/>
    <xf numFmtId="6" fontId="23" fillId="0" borderId="19" xfId="0" applyNumberFormat="1" applyFont="1" applyBorder="1"/>
    <xf numFmtId="0" fontId="1" fillId="0" borderId="11" xfId="0" applyFont="1" applyBorder="1" applyAlignment="1">
      <alignment horizontal="center"/>
    </xf>
    <xf numFmtId="0" fontId="23" fillId="5" borderId="21" xfId="0" applyFont="1" applyFill="1" applyBorder="1"/>
    <xf numFmtId="6" fontId="23" fillId="5" borderId="23" xfId="0" applyNumberFormat="1" applyFont="1" applyFill="1" applyBorder="1"/>
    <xf numFmtId="2" fontId="23" fillId="5" borderId="1" xfId="0" applyNumberFormat="1" applyFont="1" applyFill="1" applyBorder="1"/>
    <xf numFmtId="6" fontId="23" fillId="5" borderId="19" xfId="0" applyNumberFormat="1" applyFont="1" applyFill="1" applyBorder="1"/>
    <xf numFmtId="14" fontId="8" fillId="3" borderId="12" xfId="0" applyNumberFormat="1" applyFont="1" applyFill="1" applyBorder="1"/>
    <xf numFmtId="0" fontId="1" fillId="4" borderId="11" xfId="0" applyFont="1" applyFill="1" applyBorder="1" applyAlignment="1">
      <alignment horizontal="center"/>
    </xf>
    <xf numFmtId="166" fontId="1" fillId="4" borderId="0" xfId="0" applyNumberFormat="1" applyFont="1" applyFill="1" applyAlignment="1">
      <alignment horizontal="center"/>
    </xf>
    <xf numFmtId="166" fontId="1" fillId="4" borderId="9" xfId="0" applyNumberFormat="1" applyFont="1" applyFill="1" applyBorder="1" applyAlignment="1">
      <alignment horizontal="center"/>
    </xf>
    <xf numFmtId="166" fontId="1" fillId="4" borderId="14" xfId="0" applyNumberFormat="1" applyFont="1" applyFill="1" applyBorder="1" applyAlignment="1">
      <alignment horizontal="center"/>
    </xf>
    <xf numFmtId="166" fontId="1" fillId="4" borderId="0" xfId="0" applyNumberFormat="1" applyFont="1" applyFill="1"/>
    <xf numFmtId="166" fontId="1" fillId="4" borderId="14" xfId="0" applyNumberFormat="1" applyFont="1" applyFill="1" applyBorder="1"/>
    <xf numFmtId="0" fontId="1" fillId="4" borderId="0" xfId="0" applyFont="1" applyFill="1" applyAlignment="1">
      <alignment horizontal="center"/>
    </xf>
    <xf numFmtId="0" fontId="0" fillId="0" borderId="0" xfId="0" applyAlignment="1">
      <alignment horizontal="right"/>
    </xf>
    <xf numFmtId="2" fontId="1" fillId="0" borderId="0" xfId="0" applyNumberFormat="1" applyFont="1" applyAlignment="1">
      <alignment horizontal="right"/>
    </xf>
    <xf numFmtId="1" fontId="0" fillId="0" borderId="0" xfId="0" applyNumberFormat="1" applyAlignment="1">
      <alignment horizontal="right"/>
    </xf>
    <xf numFmtId="167" fontId="0" fillId="0" borderId="0" xfId="0" applyNumberFormat="1" applyAlignment="1">
      <alignment horizontal="right"/>
    </xf>
    <xf numFmtId="170" fontId="8" fillId="7" borderId="26" xfId="0" applyNumberFormat="1" applyFont="1" applyFill="1" applyBorder="1" applyAlignment="1">
      <alignment horizontal="center"/>
    </xf>
    <xf numFmtId="3" fontId="0" fillId="4" borderId="14" xfId="3" applyNumberFormat="1" applyFont="1" applyFill="1" applyBorder="1" applyAlignment="1">
      <alignment horizontal="center"/>
    </xf>
    <xf numFmtId="0" fontId="1" fillId="0" borderId="9" xfId="0" applyFont="1" applyBorder="1" applyAlignment="1">
      <alignment horizontal="center"/>
    </xf>
    <xf numFmtId="0" fontId="1" fillId="4" borderId="14" xfId="0" applyFont="1" applyFill="1" applyBorder="1" applyAlignment="1">
      <alignment horizontal="center"/>
    </xf>
    <xf numFmtId="1" fontId="0" fillId="11" borderId="0" xfId="0" applyNumberFormat="1" applyFill="1"/>
    <xf numFmtId="1" fontId="0" fillId="11" borderId="16" xfId="0" applyNumberFormat="1" applyFill="1" applyBorder="1"/>
    <xf numFmtId="0" fontId="0" fillId="11" borderId="0" xfId="0" applyFill="1"/>
    <xf numFmtId="9" fontId="0" fillId="11" borderId="0" xfId="3" applyFont="1" applyFill="1"/>
    <xf numFmtId="9" fontId="0" fillId="0" borderId="0" xfId="3" applyFont="1" applyFill="1"/>
    <xf numFmtId="171" fontId="0" fillId="4" borderId="9" xfId="0" applyNumberFormat="1" applyFill="1" applyBorder="1" applyAlignment="1">
      <alignment horizontal="center"/>
    </xf>
    <xf numFmtId="164" fontId="0" fillId="0" borderId="0" xfId="0" applyNumberFormat="1"/>
    <xf numFmtId="164" fontId="0" fillId="0" borderId="11" xfId="1" applyNumberFormat="1" applyFont="1" applyFill="1" applyBorder="1" applyAlignment="1">
      <alignment horizontal="center"/>
    </xf>
    <xf numFmtId="164" fontId="0" fillId="0" borderId="0" xfId="1" applyNumberFormat="1" applyFont="1" applyFill="1" applyBorder="1" applyAlignment="1">
      <alignment horizontal="center"/>
    </xf>
    <xf numFmtId="164" fontId="0" fillId="0" borderId="9" xfId="1" applyNumberFormat="1" applyFont="1" applyFill="1" applyBorder="1" applyAlignment="1">
      <alignment horizontal="center"/>
    </xf>
    <xf numFmtId="2" fontId="0" fillId="0" borderId="0" xfId="0" applyNumberFormat="1"/>
    <xf numFmtId="167" fontId="25" fillId="0" borderId="0" xfId="0" applyNumberFormat="1" applyFont="1"/>
    <xf numFmtId="166" fontId="0" fillId="0" borderId="16" xfId="0" applyNumberFormat="1" applyBorder="1"/>
    <xf numFmtId="166" fontId="0" fillId="5" borderId="0" xfId="0" applyNumberFormat="1" applyFill="1"/>
    <xf numFmtId="0" fontId="0" fillId="4" borderId="27" xfId="0" applyFill="1" applyBorder="1"/>
    <xf numFmtId="0" fontId="0" fillId="4" borderId="28" xfId="0" applyFill="1" applyBorder="1"/>
    <xf numFmtId="0" fontId="0" fillId="0" borderId="29" xfId="0" applyBorder="1"/>
    <xf numFmtId="0" fontId="1" fillId="0" borderId="29" xfId="0" applyFont="1" applyBorder="1"/>
    <xf numFmtId="0" fontId="0" fillId="4" borderId="29" xfId="0" applyFill="1" applyBorder="1"/>
    <xf numFmtId="167" fontId="0" fillId="0" borderId="29" xfId="0" applyNumberFormat="1" applyBorder="1"/>
    <xf numFmtId="9" fontId="0" fillId="0" borderId="29" xfId="0" applyNumberFormat="1" applyBorder="1"/>
    <xf numFmtId="167" fontId="0" fillId="12" borderId="29" xfId="0" applyNumberFormat="1" applyFill="1" applyBorder="1"/>
    <xf numFmtId="166" fontId="0" fillId="0" borderId="29" xfId="0" applyNumberFormat="1" applyBorder="1"/>
    <xf numFmtId="14" fontId="8" fillId="3" borderId="30" xfId="0" applyNumberFormat="1" applyFont="1" applyFill="1" applyBorder="1" applyAlignment="1">
      <alignment horizontal="center"/>
    </xf>
    <xf numFmtId="14" fontId="8" fillId="3" borderId="28" xfId="0" applyNumberFormat="1" applyFont="1" applyFill="1" applyBorder="1" applyAlignment="1">
      <alignment horizontal="center"/>
    </xf>
    <xf numFmtId="167" fontId="0" fillId="8" borderId="0" xfId="0" applyNumberFormat="1" applyFill="1" applyAlignment="1">
      <alignment horizontal="center"/>
    </xf>
    <xf numFmtId="167" fontId="0" fillId="8" borderId="0" xfId="0" applyNumberFormat="1" applyFill="1"/>
    <xf numFmtId="167" fontId="0" fillId="0" borderId="14" xfId="0" applyNumberFormat="1" applyBorder="1"/>
    <xf numFmtId="0" fontId="0" fillId="13" borderId="0" xfId="0" applyFill="1" applyAlignment="1">
      <alignment wrapText="1"/>
    </xf>
    <xf numFmtId="0" fontId="0" fillId="13" borderId="0" xfId="0" applyFill="1"/>
    <xf numFmtId="9" fontId="22" fillId="13" borderId="0" xfId="0" applyNumberFormat="1" applyFont="1" applyFill="1" applyAlignment="1">
      <alignment horizontal="center"/>
    </xf>
    <xf numFmtId="167" fontId="1" fillId="0" borderId="9" xfId="0" applyNumberFormat="1" applyFont="1" applyBorder="1" applyAlignment="1">
      <alignment horizontal="center"/>
    </xf>
    <xf numFmtId="167" fontId="1" fillId="4" borderId="9" xfId="0" applyNumberFormat="1" applyFont="1" applyFill="1" applyBorder="1" applyAlignment="1">
      <alignment horizontal="center"/>
    </xf>
    <xf numFmtId="167" fontId="1" fillId="0" borderId="14" xfId="0" applyNumberFormat="1" applyFont="1" applyBorder="1" applyAlignment="1">
      <alignment horizontal="center"/>
    </xf>
    <xf numFmtId="167" fontId="1" fillId="4" borderId="14" xfId="0" applyNumberFormat="1" applyFont="1" applyFill="1" applyBorder="1" applyAlignment="1">
      <alignment horizontal="center"/>
    </xf>
    <xf numFmtId="167" fontId="1" fillId="0" borderId="0" xfId="0" applyNumberFormat="1" applyFont="1"/>
    <xf numFmtId="167" fontId="1" fillId="7" borderId="9" xfId="0" applyNumberFormat="1" applyFont="1" applyFill="1" applyBorder="1" applyAlignment="1">
      <alignment horizontal="center"/>
    </xf>
    <xf numFmtId="167" fontId="1" fillId="7" borderId="14" xfId="0" applyNumberFormat="1" applyFont="1" applyFill="1" applyBorder="1" applyAlignment="1">
      <alignment horizontal="center"/>
    </xf>
    <xf numFmtId="166" fontId="0" fillId="0" borderId="0" xfId="0" applyNumberFormat="1" applyAlignment="1">
      <alignment horizontal="right"/>
    </xf>
    <xf numFmtId="166" fontId="1" fillId="0" borderId="0" xfId="0" applyNumberFormat="1" applyFont="1" applyAlignment="1">
      <alignment horizontal="right"/>
    </xf>
    <xf numFmtId="167" fontId="1" fillId="7" borderId="14" xfId="0" applyNumberFormat="1" applyFont="1" applyFill="1" applyBorder="1" applyAlignment="1">
      <alignment horizontal="center" wrapText="1"/>
    </xf>
    <xf numFmtId="170" fontId="8" fillId="7" borderId="31" xfId="0" applyNumberFormat="1" applyFont="1" applyFill="1" applyBorder="1" applyAlignment="1">
      <alignment horizontal="center"/>
    </xf>
    <xf numFmtId="166" fontId="0" fillId="8" borderId="14" xfId="0" applyNumberFormat="1" applyFill="1" applyBorder="1" applyAlignment="1">
      <alignment horizontal="center"/>
    </xf>
    <xf numFmtId="166" fontId="1" fillId="8" borderId="14" xfId="0" applyNumberFormat="1" applyFont="1" applyFill="1" applyBorder="1" applyAlignment="1">
      <alignment horizontal="center"/>
    </xf>
    <xf numFmtId="166" fontId="0" fillId="8" borderId="14" xfId="0" applyNumberFormat="1" applyFill="1" applyBorder="1"/>
    <xf numFmtId="166" fontId="0" fillId="8" borderId="0" xfId="0" applyNumberFormat="1" applyFill="1" applyAlignment="1">
      <alignment horizontal="center"/>
    </xf>
    <xf numFmtId="0" fontId="0" fillId="8" borderId="0" xfId="0" applyFill="1" applyAlignment="1">
      <alignment horizontal="right"/>
    </xf>
    <xf numFmtId="0" fontId="0" fillId="8" borderId="0" xfId="0" applyFill="1"/>
    <xf numFmtId="0" fontId="0" fillId="8" borderId="14" xfId="0" applyFill="1" applyBorder="1" applyAlignment="1">
      <alignment horizontal="center"/>
    </xf>
    <xf numFmtId="166" fontId="1" fillId="8" borderId="14" xfId="0" applyNumberFormat="1" applyFont="1" applyFill="1" applyBorder="1"/>
    <xf numFmtId="166" fontId="1" fillId="8" borderId="0" xfId="0" applyNumberFormat="1" applyFont="1" applyFill="1" applyAlignment="1">
      <alignment horizontal="center"/>
    </xf>
    <xf numFmtId="2" fontId="1" fillId="8" borderId="0" xfId="0" applyNumberFormat="1" applyFont="1" applyFill="1" applyAlignment="1">
      <alignment horizontal="right"/>
    </xf>
    <xf numFmtId="0" fontId="1" fillId="8" borderId="0" xfId="0" applyFont="1" applyFill="1"/>
    <xf numFmtId="0" fontId="1" fillId="8" borderId="14" xfId="0" applyFont="1" applyFill="1" applyBorder="1" applyAlignment="1">
      <alignment horizontal="center"/>
    </xf>
    <xf numFmtId="0" fontId="0" fillId="8" borderId="11" xfId="0" applyFill="1" applyBorder="1" applyAlignment="1">
      <alignment horizontal="center"/>
    </xf>
    <xf numFmtId="166" fontId="0" fillId="8" borderId="9" xfId="0" applyNumberFormat="1" applyFill="1" applyBorder="1" applyAlignment="1">
      <alignment horizontal="center"/>
    </xf>
    <xf numFmtId="0" fontId="1" fillId="8" borderId="11" xfId="0" applyFont="1" applyFill="1" applyBorder="1" applyAlignment="1">
      <alignment horizontal="center"/>
    </xf>
    <xf numFmtId="166" fontId="1" fillId="8" borderId="9" xfId="0" applyNumberFormat="1" applyFont="1" applyFill="1" applyBorder="1" applyAlignment="1">
      <alignment horizontal="center"/>
    </xf>
    <xf numFmtId="1" fontId="0" fillId="8" borderId="0" xfId="0" applyNumberFormat="1" applyFill="1"/>
    <xf numFmtId="171" fontId="0" fillId="4" borderId="0" xfId="0" applyNumberFormat="1" applyFill="1" applyAlignment="1">
      <alignment horizontal="center"/>
    </xf>
    <xf numFmtId="171" fontId="0" fillId="4" borderId="11" xfId="0" applyNumberFormat="1" applyFill="1" applyBorder="1" applyAlignment="1">
      <alignment horizontal="center"/>
    </xf>
    <xf numFmtId="43" fontId="0" fillId="0" borderId="0" xfId="0" applyNumberFormat="1"/>
    <xf numFmtId="0" fontId="1" fillId="9" borderId="0" xfId="0" applyFont="1" applyFill="1" applyAlignment="1">
      <alignment wrapText="1"/>
    </xf>
    <xf numFmtId="38" fontId="0" fillId="0" borderId="0" xfId="0" applyNumberFormat="1" applyAlignment="1">
      <alignment wrapText="1"/>
    </xf>
    <xf numFmtId="171" fontId="0" fillId="0" borderId="0" xfId="0" applyNumberFormat="1" applyAlignment="1">
      <alignment horizontal="right"/>
    </xf>
    <xf numFmtId="0" fontId="0" fillId="0" borderId="0" xfId="0" applyAlignment="1">
      <alignment horizontal="left"/>
    </xf>
    <xf numFmtId="165" fontId="0" fillId="0" borderId="11" xfId="2" applyNumberFormat="1" applyFont="1" applyFill="1" applyBorder="1" applyAlignment="1">
      <alignment horizontal="center"/>
    </xf>
    <xf numFmtId="171" fontId="0" fillId="9" borderId="0" xfId="0" applyNumberFormat="1" applyFill="1"/>
    <xf numFmtId="0" fontId="0" fillId="0" borderId="0" xfId="0" applyAlignment="1">
      <alignment horizontal="left" indent="1"/>
    </xf>
    <xf numFmtId="0" fontId="8" fillId="3" borderId="2" xfId="0" applyFont="1" applyFill="1" applyBorder="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15" fillId="0" borderId="0" xfId="0" applyFont="1" applyAlignment="1">
      <alignment horizontal="left" indent="1"/>
    </xf>
    <xf numFmtId="0" fontId="1" fillId="4" borderId="0" xfId="0" applyFont="1" applyFill="1" applyAlignment="1">
      <alignment horizontal="left" wrapText="1" indent="1"/>
    </xf>
    <xf numFmtId="1" fontId="0" fillId="0" borderId="0" xfId="0" applyNumberFormat="1" applyAlignment="1">
      <alignment horizontal="left" indent="1"/>
    </xf>
    <xf numFmtId="169" fontId="0" fillId="0" borderId="32" xfId="0" applyNumberFormat="1" applyBorder="1"/>
    <xf numFmtId="0" fontId="0" fillId="4" borderId="32" xfId="0" applyFill="1" applyBorder="1"/>
    <xf numFmtId="169" fontId="0" fillId="4" borderId="32" xfId="0" applyNumberFormat="1" applyFill="1" applyBorder="1"/>
    <xf numFmtId="170" fontId="8" fillId="4" borderId="17" xfId="0" applyNumberFormat="1" applyFont="1" applyFill="1" applyBorder="1" applyAlignment="1">
      <alignment horizontal="center"/>
    </xf>
    <xf numFmtId="14" fontId="8" fillId="4" borderId="2" xfId="0" applyNumberFormat="1" applyFont="1" applyFill="1" applyBorder="1" applyAlignment="1">
      <alignment horizontal="center"/>
    </xf>
    <xf numFmtId="14" fontId="8" fillId="4" borderId="12" xfId="0" applyNumberFormat="1" applyFont="1" applyFill="1" applyBorder="1" applyAlignment="1">
      <alignment horizontal="center"/>
    </xf>
    <xf numFmtId="14" fontId="8" fillId="4" borderId="2" xfId="0" applyNumberFormat="1" applyFont="1" applyFill="1" applyBorder="1" applyAlignment="1">
      <alignment horizontal="center" wrapText="1"/>
    </xf>
    <xf numFmtId="170" fontId="8" fillId="4" borderId="31" xfId="0" applyNumberFormat="1" applyFont="1" applyFill="1" applyBorder="1" applyAlignment="1">
      <alignment horizontal="center"/>
    </xf>
    <xf numFmtId="167" fontId="0" fillId="5" borderId="0" xfId="0" applyNumberFormat="1" applyFill="1" applyAlignment="1">
      <alignment horizontal="left" indent="1"/>
    </xf>
    <xf numFmtId="9" fontId="18" fillId="4" borderId="0" xfId="0" applyNumberFormat="1" applyFont="1" applyFill="1" applyAlignment="1">
      <alignment horizontal="center" wrapText="1"/>
    </xf>
    <xf numFmtId="0" fontId="7" fillId="3" borderId="2" xfId="0" applyFont="1" applyFill="1" applyBorder="1" applyAlignment="1">
      <alignment horizontal="left" indent="1"/>
    </xf>
    <xf numFmtId="0" fontId="7" fillId="3" borderId="2" xfId="0" applyFont="1" applyFill="1" applyBorder="1" applyAlignment="1">
      <alignment horizontal="center"/>
    </xf>
    <xf numFmtId="0" fontId="26" fillId="3" borderId="2" xfId="0" applyFont="1" applyFill="1" applyBorder="1" applyAlignment="1">
      <alignment horizontal="center"/>
    </xf>
    <xf numFmtId="0" fontId="7" fillId="3" borderId="12" xfId="0" applyFont="1" applyFill="1" applyBorder="1" applyAlignment="1">
      <alignment horizontal="center"/>
    </xf>
    <xf numFmtId="170" fontId="7" fillId="7" borderId="26" xfId="0" applyNumberFormat="1" applyFont="1" applyFill="1" applyBorder="1" applyAlignment="1">
      <alignment horizontal="center"/>
    </xf>
    <xf numFmtId="0" fontId="27" fillId="5" borderId="0" xfId="0" applyFont="1" applyFill="1" applyAlignment="1">
      <alignment horizontal="center"/>
    </xf>
    <xf numFmtId="0" fontId="1" fillId="14" borderId="0" xfId="0" applyFont="1" applyFill="1" applyAlignment="1">
      <alignment horizontal="left" indent="1"/>
    </xf>
    <xf numFmtId="0" fontId="1" fillId="14" borderId="0" xfId="0" applyFont="1" applyFill="1"/>
    <xf numFmtId="0" fontId="17" fillId="14" borderId="0" xfId="0" applyFont="1" applyFill="1" applyAlignment="1">
      <alignment horizontal="center"/>
    </xf>
    <xf numFmtId="0" fontId="0" fillId="14" borderId="0" xfId="0" applyFill="1"/>
    <xf numFmtId="38" fontId="0" fillId="14" borderId="0" xfId="0" applyNumberFormat="1" applyFill="1"/>
    <xf numFmtId="169" fontId="0" fillId="14" borderId="0" xfId="0" applyNumberFormat="1" applyFill="1"/>
    <xf numFmtId="0" fontId="23" fillId="0" borderId="0" xfId="0" applyFont="1" applyAlignment="1">
      <alignment wrapText="1"/>
    </xf>
    <xf numFmtId="10" fontId="1" fillId="0" borderId="0" xfId="0" applyNumberFormat="1" applyFont="1"/>
    <xf numFmtId="0" fontId="1" fillId="5" borderId="0" xfId="0" applyFont="1" applyFill="1"/>
    <xf numFmtId="167" fontId="1" fillId="5" borderId="0" xfId="0" applyNumberFormat="1" applyFont="1" applyFill="1"/>
    <xf numFmtId="10" fontId="1" fillId="5" borderId="0" xfId="0" applyNumberFormat="1" applyFont="1" applyFill="1"/>
    <xf numFmtId="0" fontId="23" fillId="5" borderId="0" xfId="0" applyFont="1" applyFill="1" applyAlignment="1">
      <alignment wrapText="1"/>
    </xf>
    <xf numFmtId="0" fontId="23" fillId="5" borderId="0" xfId="0" applyFont="1" applyFill="1"/>
    <xf numFmtId="0" fontId="23" fillId="7" borderId="0" xfId="0" applyFont="1" applyFill="1"/>
    <xf numFmtId="0" fontId="0" fillId="7" borderId="0" xfId="0" applyFill="1"/>
    <xf numFmtId="0" fontId="1" fillId="7" borderId="0" xfId="0" applyFont="1" applyFill="1"/>
    <xf numFmtId="167" fontId="1" fillId="7" borderId="0" xfId="0" applyNumberFormat="1" applyFont="1" applyFill="1"/>
    <xf numFmtId="10" fontId="1" fillId="7" borderId="0" xfId="0" applyNumberFormat="1" applyFont="1" applyFill="1"/>
    <xf numFmtId="0" fontId="23" fillId="7" borderId="0" xfId="0" applyFont="1" applyFill="1" applyAlignment="1">
      <alignment wrapText="1"/>
    </xf>
    <xf numFmtId="172" fontId="0" fillId="0" borderId="0" xfId="0" applyNumberFormat="1"/>
    <xf numFmtId="0" fontId="0" fillId="0" borderId="0" xfId="0" applyAlignment="1">
      <alignment horizontal="left" wrapText="1" indent="1"/>
    </xf>
    <xf numFmtId="0" fontId="15" fillId="0" borderId="0" xfId="0" applyFont="1" applyAlignment="1">
      <alignment horizontal="left" wrapText="1" indent="1"/>
    </xf>
    <xf numFmtId="9" fontId="16" fillId="0" borderId="0" xfId="0" applyNumberFormat="1" applyFont="1" applyAlignment="1">
      <alignment horizontal="center" wrapText="1"/>
    </xf>
    <xf numFmtId="9" fontId="0" fillId="0" borderId="11" xfId="0" applyNumberFormat="1" applyBorder="1" applyAlignment="1">
      <alignment horizontal="center" wrapText="1"/>
    </xf>
    <xf numFmtId="9" fontId="0" fillId="0" borderId="0" xfId="0" applyNumberFormat="1" applyAlignment="1">
      <alignment horizontal="center" wrapText="1"/>
    </xf>
    <xf numFmtId="9" fontId="0" fillId="0" borderId="9" xfId="0" applyNumberFormat="1" applyBorder="1" applyAlignment="1">
      <alignment horizontal="center" wrapText="1"/>
    </xf>
    <xf numFmtId="167" fontId="0" fillId="0" borderId="0" xfId="0" applyNumberFormat="1" applyAlignment="1">
      <alignment horizontal="center" wrapText="1"/>
    </xf>
    <xf numFmtId="9" fontId="0" fillId="0" borderId="14" xfId="3" applyFont="1" applyBorder="1" applyAlignment="1">
      <alignment horizontal="center" wrapText="1"/>
    </xf>
    <xf numFmtId="167" fontId="0" fillId="0" borderId="0" xfId="0" applyNumberFormat="1" applyAlignment="1">
      <alignment wrapText="1"/>
    </xf>
    <xf numFmtId="0" fontId="9" fillId="0" borderId="0" xfId="0" applyFont="1"/>
    <xf numFmtId="9" fontId="0" fillId="0" borderId="14" xfId="0" applyNumberFormat="1" applyBorder="1" applyAlignment="1">
      <alignment horizontal="center" wrapText="1"/>
    </xf>
    <xf numFmtId="169" fontId="0" fillId="0" borderId="14" xfId="0" applyNumberFormat="1" applyBorder="1" applyAlignment="1">
      <alignment horizontal="right"/>
    </xf>
    <xf numFmtId="167" fontId="0" fillId="0" borderId="34" xfId="0" applyNumberFormat="1" applyBorder="1" applyAlignment="1">
      <alignment horizontal="center"/>
    </xf>
    <xf numFmtId="171" fontId="0" fillId="0" borderId="0" xfId="1" applyNumberFormat="1" applyFont="1"/>
    <xf numFmtId="164" fontId="0" fillId="0" borderId="14" xfId="0" applyNumberFormat="1" applyBorder="1" applyAlignment="1">
      <alignment horizontal="center"/>
    </xf>
    <xf numFmtId="0" fontId="15" fillId="0" borderId="0" xfId="0" applyFont="1" applyAlignment="1">
      <alignment horizontal="center"/>
    </xf>
    <xf numFmtId="9" fontId="0" fillId="11" borderId="0" xfId="0" applyNumberFormat="1" applyFill="1"/>
    <xf numFmtId="9" fontId="0" fillId="11" borderId="16" xfId="0" applyNumberFormat="1" applyFill="1" applyBorder="1"/>
    <xf numFmtId="0" fontId="19" fillId="6" borderId="0" xfId="0" applyFont="1" applyFill="1" applyAlignment="1">
      <alignment horizontal="center" wrapText="1"/>
    </xf>
    <xf numFmtId="0" fontId="0" fillId="4" borderId="16" xfId="0" applyFill="1" applyBorder="1" applyAlignment="1">
      <alignment horizontal="center"/>
    </xf>
    <xf numFmtId="171" fontId="0" fillId="0" borderId="16" xfId="0" applyNumberFormat="1" applyBorder="1" applyAlignment="1">
      <alignment horizontal="center"/>
    </xf>
    <xf numFmtId="171" fontId="1" fillId="0" borderId="16" xfId="0" applyNumberFormat="1" applyFont="1" applyBorder="1" applyAlignment="1">
      <alignment horizontal="center"/>
    </xf>
    <xf numFmtId="0" fontId="0" fillId="0" borderId="16" xfId="0" applyBorder="1" applyAlignment="1">
      <alignment horizontal="center"/>
    </xf>
    <xf numFmtId="9" fontId="0" fillId="0" borderId="16" xfId="0" applyNumberFormat="1" applyBorder="1" applyAlignment="1">
      <alignment horizontal="center"/>
    </xf>
    <xf numFmtId="1" fontId="0" fillId="0" borderId="16" xfId="0" applyNumberFormat="1" applyBorder="1" applyAlignment="1">
      <alignment horizontal="center"/>
    </xf>
    <xf numFmtId="169" fontId="0" fillId="0" borderId="16" xfId="0" applyNumberFormat="1" applyBorder="1" applyAlignment="1">
      <alignment horizontal="center"/>
    </xf>
    <xf numFmtId="169" fontId="0" fillId="4" borderId="16" xfId="0" applyNumberFormat="1" applyFill="1" applyBorder="1" applyAlignment="1">
      <alignment horizontal="center"/>
    </xf>
    <xf numFmtId="0" fontId="0" fillId="0" borderId="18" xfId="0" applyBorder="1" applyAlignment="1">
      <alignment horizontal="center"/>
    </xf>
    <xf numFmtId="167" fontId="22" fillId="13" borderId="0" xfId="0" applyNumberFormat="1" applyFont="1" applyFill="1" applyAlignment="1">
      <alignment horizontal="center"/>
    </xf>
    <xf numFmtId="0" fontId="19" fillId="0" borderId="0" xfId="0" applyFont="1" applyAlignment="1">
      <alignment horizontal="center" wrapText="1"/>
    </xf>
    <xf numFmtId="1" fontId="0" fillId="0" borderId="16" xfId="0" applyNumberFormat="1" applyBorder="1" applyAlignment="1">
      <alignment horizontal="right"/>
    </xf>
    <xf numFmtId="0" fontId="0" fillId="0" borderId="16" xfId="0" applyBorder="1" applyAlignment="1">
      <alignment horizontal="right"/>
    </xf>
    <xf numFmtId="0" fontId="0" fillId="4" borderId="16" xfId="0" applyFill="1" applyBorder="1" applyAlignment="1">
      <alignment horizontal="right"/>
    </xf>
    <xf numFmtId="9" fontId="0" fillId="0" borderId="16" xfId="0" applyNumberFormat="1" applyBorder="1" applyAlignment="1">
      <alignment horizontal="right"/>
    </xf>
    <xf numFmtId="167" fontId="0" fillId="5" borderId="16" xfId="0" applyNumberFormat="1" applyFill="1" applyBorder="1"/>
    <xf numFmtId="14" fontId="8" fillId="3" borderId="33" xfId="0" applyNumberFormat="1" applyFont="1" applyFill="1" applyBorder="1" applyAlignment="1">
      <alignment horizontal="center"/>
    </xf>
    <xf numFmtId="167" fontId="0" fillId="0" borderId="16" xfId="0" applyNumberFormat="1" applyBorder="1" applyAlignment="1">
      <alignment horizontal="center"/>
    </xf>
    <xf numFmtId="0" fontId="28" fillId="0" borderId="0" xfId="0" applyFont="1"/>
    <xf numFmtId="1" fontId="0" fillId="5" borderId="16" xfId="0" applyNumberFormat="1" applyFill="1" applyBorder="1" applyAlignment="1">
      <alignment horizontal="center"/>
    </xf>
    <xf numFmtId="0" fontId="0" fillId="0" borderId="0" xfId="0" applyAlignment="1">
      <alignment horizontal="left" wrapText="1" indent="1"/>
    </xf>
    <xf numFmtId="0" fontId="24" fillId="3" borderId="24" xfId="0" applyFont="1" applyFill="1" applyBorder="1" applyAlignment="1">
      <alignment horizontal="center" vertical="center"/>
    </xf>
    <xf numFmtId="0" fontId="24" fillId="3" borderId="25" xfId="0" applyFont="1" applyFill="1" applyBorder="1" applyAlignment="1">
      <alignment horizontal="center" vertical="center"/>
    </xf>
    <xf numFmtId="0" fontId="24" fillId="3" borderId="20" xfId="0" applyFont="1" applyFill="1" applyBorder="1" applyAlignment="1">
      <alignment horizontal="center" vertical="center"/>
    </xf>
    <xf numFmtId="0" fontId="24" fillId="0" borderId="24" xfId="0" applyFont="1" applyBorder="1" applyAlignment="1">
      <alignment horizontal="center" vertical="center"/>
    </xf>
    <xf numFmtId="0" fontId="24" fillId="0" borderId="25" xfId="0" applyFont="1" applyBorder="1" applyAlignment="1">
      <alignment horizontal="center" vertical="center"/>
    </xf>
    <xf numFmtId="0" fontId="24" fillId="0" borderId="20" xfId="0" applyFont="1" applyBorder="1" applyAlignment="1">
      <alignment horizontal="center" vertical="center"/>
    </xf>
    <xf numFmtId="0" fontId="0" fillId="5" borderId="7" xfId="0" applyFill="1" applyBorder="1" applyAlignment="1">
      <alignment horizontal="center"/>
    </xf>
  </cellXfs>
  <cellStyles count="4">
    <cellStyle name="Comma" xfId="1" builtinId="3"/>
    <cellStyle name="Currency" xfId="2" builtinId="4"/>
    <cellStyle name="Normal" xfId="0" builtinId="0"/>
    <cellStyle name="Percent" xfId="3" builtinId="5"/>
  </cellStyles>
  <dxfs count="104">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ocumenttasks/documenttask1.xml><?xml version="1.0" encoding="utf-8"?>
<Tasks xmlns="http://schemas.microsoft.com/office/tasks/2019/documenttasks">
  <Task id="{AB185E46-C1CA-4FB1-9E50-4D805C7F46B1}">
    <Anchor>
      <Comment id="{7827E5B9-5FAE-46E1-BE0A-AA232B93BC03}"/>
    </Anchor>
    <History>
      <Event time="2025-03-05T23:15:49.17" id="{36582F4E-CB2C-4800-A6C7-E318D5EF95E2}">
        <Attribution userId="S::cco@acaciahealth.net::cb4adc81-6e02-405b-a054-e608e8909c31" userName="Daniel Repchian" userProvider="AD"/>
        <Anchor>
          <Comment id="{7827E5B9-5FAE-46E1-BE0A-AA232B93BC03}"/>
        </Anchor>
        <Create/>
      </Event>
      <Event time="2025-03-05T23:15:49.17" id="{3F625E29-7432-45B2-91E7-2620F79D42A1}">
        <Attribution userId="S::cco@acaciahealth.net::cb4adc81-6e02-405b-a054-e608e8909c31" userName="Daniel Repchian" userProvider="AD"/>
        <Anchor>
          <Comment id="{7827E5B9-5FAE-46E1-BE0A-AA232B93BC03}"/>
        </Anchor>
        <Assign userId="S::serene.liu@acaciahealth.net::34e14f93-3162-4dca-afa1-1b69df64f04a" userName="Serene Liu" userProvider="AD"/>
      </Event>
      <Event time="2025-03-05T23:15:49.17" id="{FBB3D753-90D7-40EB-9071-FECC871C3A91}">
        <Attribution userId="S::cco@acaciahealth.net::cb4adc81-6e02-405b-a054-e608e8909c31" userName="Daniel Repchian" userProvider="AD"/>
        <Anchor>
          <Comment id="{7827E5B9-5FAE-46E1-BE0A-AA232B93BC03}"/>
        </Anchor>
        <SetTitle title="@Serene Liu build formula to turn anything 20% below or above benchmark is red or green (See Doug for questions)"/>
      </Event>
    </History>
  </Task>
</Task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caciahomehealth-my.sharepoint.com/personal/ana_morales_acaciahealth_net/Documents/Desktop/Projects_Programs/Palliaitive/Palliative%20Tracker%20NEW.xlsx" TargetMode="External"/><Relationship Id="rId1" Type="http://schemas.openxmlformats.org/officeDocument/2006/relationships/externalLinkPath" Target="https://acaciahomehealth-my.sharepoint.com/personal/ana_morales_acaciahealth_net/Documents/Desktop/Projects_Programs/Palliaitive/Palliative%20Tracker%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j9TK1xmDsE22lz5RyypEm7XCeWd7geZNgv8-Xj_HkhasfRMmvFmuRYXBD28Ndqn3" itemId="01P3OGYUHSLBQZP62T2NELHU6MFPA3YHXL">
      <xxl21:absoluteUrl r:id="rId2"/>
    </xxl21:alternateUrls>
    <sheetNames>
      <sheetName val="2026 Analysis"/>
      <sheetName val="2025 Analysis"/>
      <sheetName val="2024 Analysis"/>
      <sheetName val="2022 Analysis"/>
      <sheetName val="HH Palliative IDT"/>
      <sheetName val="Palliative IDT"/>
      <sheetName val="South IDT"/>
      <sheetName val="North IDT"/>
      <sheetName val="QA Calls"/>
      <sheetName val="STAT Attn"/>
      <sheetName val="Dr. Doust Review"/>
      <sheetName val="Follow Up Calls"/>
      <sheetName val="RCT-DC Charts"/>
      <sheetName val="Previous Patients"/>
      <sheetName val="To Be Screened"/>
      <sheetName val="2023 Analysis"/>
      <sheetName val="2021 Analysis"/>
      <sheetName val="2020 Analysis"/>
      <sheetName val="Sheet2"/>
    </sheetNames>
    <sheetDataSet>
      <sheetData sheetId="0">
        <row r="6">
          <cell r="B6">
            <v>4</v>
          </cell>
          <cell r="C6">
            <v>9</v>
          </cell>
          <cell r="D6">
            <v>8</v>
          </cell>
          <cell r="E6"/>
          <cell r="F6"/>
          <cell r="H6"/>
          <cell r="I6"/>
          <cell r="J6"/>
          <cell r="K6"/>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Serene Liu" id="{CA387CAC-6D21-4597-86AE-90003417855F}" userId="serene.liu@acaciahealth.net" providerId="PeoplePicker"/>
  <person displayName="Daniel Repchian" id="{9FD1B56A-1B6F-4B43-BAFA-F8623F1FF932}" userId="S::cco@acaciahealth.net::cb4adc81-6e02-405b-a054-e608e8909c31" providerId="AD"/>
  <person displayName="Joseph Allen" id="{FB502E9F-A6A3-4EF2-8B9C-5196A31FA18C}" userId="S::coo@acaciahealth.net::7af2ddce-9aea-4498-88a5-ef64b593253c" providerId="AD"/>
  <person displayName="Serene Liu" id="{A1B5258C-EDFA-4D1D-A46C-1D7B9CBEEC4E}" userId="S::serene.liu@acaciahealth.net::34e14f93-3162-4dca-afa1-1b69df64f04a" providerId="AD"/>
  <person displayName="Bryan Latterman" id="{9838914C-D452-4337-A319-2D11120B8243}" userId="S::bryan.latterman@acaciahealth.net::585996f1-8951-4493-9ae3-73e6fcbc2e8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3" dT="2025-03-05T23:15:49.65" personId="{9FD1B56A-1B6F-4B43-BAFA-F8623F1FF932}" id="{7827E5B9-5FAE-46E1-BE0A-AA232B93BC03}">
    <text>@Serene Liu build formula to turn anything 20% below or above benchmark is red or green (See Doug for questions)</text>
    <mentions>
      <mention mentionpersonId="{CA387CAC-6D21-4597-86AE-90003417855F}" mentionId="{B926C978-BAD5-49DE-8F05-482DF22210BF}" startIndex="0" length="11"/>
    </mentions>
  </threadedComment>
  <threadedComment ref="B33" dT="2025-03-12T21:25:33.08" personId="{9FD1B56A-1B6F-4B43-BAFA-F8623F1FF932}" id="{F35246E6-F25E-4153-9EC7-C5818BBB76F5}" parentId="{7827E5B9-5FAE-46E1-BE0A-AA232B93BC03}">
    <text>@Serene Liu The 20% color change should be limited to "Recerts" section.
Change all other sections to change color based on it increasing or decreasing by any single digit @see Doug for questions</text>
    <mentions>
      <mention mentionpersonId="{CA387CAC-6D21-4597-86AE-90003417855F}" mentionId="{59B3BC38-CACF-44A3-B431-BCFA38F3CB02}" startIndex="0" length="11"/>
    </mentions>
  </threadedComment>
  <threadedComment ref="B33" dT="2025-04-01T19:43:13.43" personId="{FB502E9F-A6A3-4EF2-8B9C-5196A31FA18C}" id="{DF89172B-928A-4267-A55A-09B865F2632F}" parentId="{7827E5B9-5FAE-46E1-BE0A-AA232B93BC03}">
    <text xml:space="preserve">@Serene Liu Can you only fill current week red or green compared to benchmark.  We only want to see week over week increases or decreases in red or green.  Remove prior week fill and only update current week every week.
</text>
    <mentions>
      <mention mentionpersonId="{CA387CAC-6D21-4597-86AE-90003417855F}" mentionId="{A13DEF72-7D25-489E-94C5-7EAAE47845AF}" startIndex="0" length="11"/>
    </mentions>
  </threadedComment>
  <threadedComment ref="B33" dT="2025-04-01T20:05:33.30" personId="{A1B5258C-EDFA-4D1D-A46C-1D7B9CBEEC4E}" id="{49DFFB83-ECB2-4B52-95B9-A0A71179E9B1}" parentId="{7827E5B9-5FAE-46E1-BE0A-AA232B93BC03}">
    <text>Ok. Got it!</text>
  </threadedComment>
  <threadedComment ref="B33" dT="2026-05-04T21:26:10.70" personId="{9FD1B56A-1B6F-4B43-BAFA-F8623F1FF932}" id="{52CE9A22-0454-4C51-9130-C2AFA0588676}" parentId="{7827E5B9-5FAE-46E1-BE0A-AA232B93BC03}">
    <text>@Serene Liu Was this completed?</text>
    <mentions>
      <mention mentionpersonId="{CA387CAC-6D21-4597-86AE-90003417855F}" mentionId="{DB28A284-F9D5-42EB-A3B3-357175A07BCA}" startIndex="0" length="11"/>
    </mentions>
  </threadedComment>
  <threadedComment ref="B33" dT="2026-05-05T02:03:59.39" personId="{A1B5258C-EDFA-4D1D-A46C-1D7B9CBEEC4E}" id="{EE901E51-0FD1-4321-A535-E72D95FB067A}" parentId="{7827E5B9-5FAE-46E1-BE0A-AA232B93BC03}">
    <text>I completed this last Friday and it was at 45.3%, but now it looks like it dropped a little to 44.7%</text>
  </threadedComment>
</ThreadedComments>
</file>

<file path=xl/threadedComments/threadedComment2.xml><?xml version="1.0" encoding="utf-8"?>
<ThreadedComments xmlns="http://schemas.microsoft.com/office/spreadsheetml/2018/threadedcomments" xmlns:x="http://schemas.openxmlformats.org/spreadsheetml/2006/main">
  <threadedComment ref="CF20" dT="2026-05-04T21:09:56.67" personId="{9838914C-D452-4337-A319-2D11120B8243}" id="{E61F9913-5CD2-4634-8D12-BD30F2A5C143}">
    <text>why is this so high?</text>
  </threadedComment>
</ThreadedComments>
</file>

<file path=xl/threadedComments/threadedComment3.xml><?xml version="1.0" encoding="utf-8"?>
<ThreadedComments xmlns="http://schemas.microsoft.com/office/spreadsheetml/2018/threadedcomments" xmlns:x="http://schemas.openxmlformats.org/spreadsheetml/2006/main">
  <threadedComment ref="C1" dT="2026-03-20T23:53:52.23" personId="{9838914C-D452-4337-A319-2D11120B8243}" id="{0D918338-76E5-4E3F-AC1E-4DA4886AD7BA}">
    <text xml:space="preserve">what day o fthe week are these populated? and how many weeks out are they populated?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BA6DA-E43E-4FDC-A767-07F67057DB93}">
  <dimension ref="A1:CU102"/>
  <sheetViews>
    <sheetView tabSelected="1" zoomScale="130" zoomScaleNormal="130" workbookViewId="0">
      <pane ySplit="1" topLeftCell="A63" activePane="bottomLeft" state="frozen"/>
      <selection pane="bottomLeft" activeCell="C8" sqref="C8"/>
    </sheetView>
  </sheetViews>
  <sheetFormatPr defaultColWidth="9.140625" defaultRowHeight="15" outlineLevelRow="1" outlineLevelCol="1"/>
  <cols>
    <col min="1" max="1" width="27.7109375" style="279" customWidth="1"/>
    <col min="2" max="2" width="35.5703125" customWidth="1"/>
    <col min="3" max="3" width="23.28515625" style="30" customWidth="1"/>
    <col min="4" max="4" width="19.5703125" customWidth="1"/>
    <col min="5" max="5" width="11" style="40" hidden="1" customWidth="1" outlineLevel="1"/>
    <col min="6" max="6" width="12.28515625" style="40" hidden="1" customWidth="1" outlineLevel="1"/>
    <col min="7" max="7" width="11.42578125" style="40" hidden="1" customWidth="1" outlineLevel="1"/>
    <col min="8" max="8" width="10.5703125" style="40" hidden="1" customWidth="1" outlineLevel="1"/>
    <col min="9" max="9" width="11.42578125" style="40" hidden="1" customWidth="1" outlineLevel="1"/>
    <col min="10" max="10" width="10.42578125" style="40" hidden="1" customWidth="1" collapsed="1"/>
    <col min="11" max="11" width="11.140625" style="40" hidden="1" customWidth="1" outlineLevel="1" collapsed="1"/>
    <col min="12" max="12" width="12.140625" style="40" hidden="1" customWidth="1" outlineLevel="1"/>
    <col min="13" max="13" width="11.42578125" style="40" hidden="1" customWidth="1" outlineLevel="1"/>
    <col min="14" max="14" width="12.85546875" style="40" hidden="1" customWidth="1" outlineLevel="1"/>
    <col min="15" max="15" width="10.7109375" style="40" hidden="1" customWidth="1" collapsed="1"/>
    <col min="16" max="18" width="10" hidden="1" customWidth="1" outlineLevel="1"/>
    <col min="19" max="19" width="11.5703125" hidden="1" customWidth="1" outlineLevel="1"/>
    <col min="20" max="20" width="10.7109375" style="40" hidden="1" customWidth="1" collapsed="1"/>
    <col min="21" max="21" width="11.5703125" hidden="1" customWidth="1" outlineLevel="1"/>
    <col min="22" max="24" width="10" hidden="1" customWidth="1" outlineLevel="1"/>
    <col min="25" max="25" width="11.28515625" hidden="1" customWidth="1" outlineLevel="1"/>
    <col min="26" max="26" width="11" customWidth="1" collapsed="1"/>
    <col min="27" max="27" width="10.28515625" style="40" hidden="1" customWidth="1" outlineLevel="1"/>
    <col min="28" max="28" width="9.85546875" style="40" hidden="1" customWidth="1" outlineLevel="1"/>
    <col min="29" max="29" width="9.85546875" hidden="1" customWidth="1" outlineLevel="1"/>
    <col min="30" max="30" width="11" hidden="1" customWidth="1" outlineLevel="1"/>
    <col min="31" max="31" width="10.42578125" style="40" hidden="1" customWidth="1" collapsed="1"/>
    <col min="32" max="32" width="10.140625" hidden="1" customWidth="1" outlineLevel="1"/>
    <col min="33" max="33" width="10.42578125" hidden="1" customWidth="1" outlineLevel="1"/>
    <col min="34" max="34" width="10.140625" hidden="1" customWidth="1" outlineLevel="1"/>
    <col min="35" max="35" width="11.140625" hidden="1" customWidth="1" outlineLevel="1"/>
    <col min="36" max="36" width="9.85546875" hidden="1" customWidth="1" collapsed="1"/>
    <col min="37" max="37" width="11.5703125" hidden="1" customWidth="1"/>
    <col min="38" max="38" width="10.85546875" hidden="1" customWidth="1"/>
    <col min="39" max="39" width="10.42578125" hidden="1" customWidth="1"/>
    <col min="40" max="40" width="11" hidden="1" customWidth="1"/>
    <col min="41" max="41" width="11.140625" hidden="1" customWidth="1"/>
    <col min="42" max="42" width="10.5703125" hidden="1" customWidth="1"/>
    <col min="43" max="43" width="11.28515625" hidden="1" customWidth="1"/>
    <col min="44" max="45" width="10.42578125" hidden="1" customWidth="1"/>
    <col min="46" max="46" width="11.28515625" hidden="1" customWidth="1"/>
    <col min="47" max="47" width="10.42578125" hidden="1" customWidth="1"/>
    <col min="48" max="48" width="10.7109375" hidden="1" customWidth="1"/>
    <col min="49" max="49" width="9.85546875" hidden="1" customWidth="1"/>
    <col min="50" max="50" width="9.5703125" hidden="1" customWidth="1"/>
    <col min="51" max="51" width="11.42578125" hidden="1" customWidth="1"/>
    <col min="52" max="52" width="10.7109375" hidden="1" customWidth="1"/>
    <col min="53" max="53" width="11.5703125" hidden="1" customWidth="1" outlineLevel="1"/>
    <col min="54" max="54" width="11" hidden="1" customWidth="1" outlineLevel="1"/>
    <col min="55" max="55" width="10.7109375" hidden="1" customWidth="1" outlineLevel="1"/>
    <col min="56" max="57" width="11.7109375" hidden="1" customWidth="1" outlineLevel="1"/>
    <col min="58" max="58" width="10.42578125" hidden="1" customWidth="1" collapsed="1"/>
    <col min="59" max="59" width="11.7109375" hidden="1" customWidth="1" outlineLevel="1"/>
    <col min="60" max="61" width="10.85546875" hidden="1" customWidth="1" outlineLevel="1"/>
    <col min="62" max="62" width="11.7109375" hidden="1" customWidth="1" outlineLevel="1"/>
    <col min="63" max="63" width="10.7109375" hidden="1" customWidth="1" collapsed="1"/>
    <col min="64" max="66" width="11.7109375" hidden="1" customWidth="1" outlineLevel="1"/>
    <col min="67" max="67" width="11" hidden="1" customWidth="1" outlineLevel="1"/>
    <col min="68" max="68" width="11.7109375" hidden="1" customWidth="1" outlineLevel="1"/>
    <col min="69" max="69" width="10.7109375" bestFit="1" customWidth="1" collapsed="1"/>
    <col min="70" max="73" width="11.7109375" hidden="1" customWidth="1" outlineLevel="1"/>
    <col min="74" max="74" width="10.7109375" customWidth="1" collapsed="1"/>
    <col min="75" max="78" width="11.7109375" hidden="1" customWidth="1" outlineLevel="1"/>
    <col min="79" max="79" width="10.7109375" customWidth="1" collapsed="1"/>
    <col min="80" max="80" width="11.7109375" hidden="1" customWidth="1" outlineLevel="1"/>
    <col min="81" max="81" width="11.28515625" hidden="1" customWidth="1" outlineLevel="1"/>
    <col min="82" max="82" width="11.7109375" style="40" hidden="1" customWidth="1" outlineLevel="1"/>
    <col min="83" max="83" width="11.28515625" style="40" hidden="1" customWidth="1" outlineLevel="1"/>
    <col min="84" max="84" width="10.42578125" customWidth="1" collapsed="1"/>
    <col min="85" max="88" width="11.28515625" style="40" customWidth="1" outlineLevel="1"/>
    <col min="89" max="89" width="12.7109375" style="40" customWidth="1" outlineLevel="1"/>
    <col min="90" max="90" width="10.42578125" customWidth="1"/>
  </cols>
  <sheetData>
    <row r="1" spans="1:99" outlineLevel="1">
      <c r="A1" s="280" t="s">
        <v>0</v>
      </c>
      <c r="B1" s="7" t="s">
        <v>1</v>
      </c>
      <c r="C1" s="31" t="s">
        <v>2</v>
      </c>
      <c r="D1" s="92" t="s">
        <v>3</v>
      </c>
      <c r="E1" s="80">
        <v>45505</v>
      </c>
      <c r="F1" s="66">
        <v>45536</v>
      </c>
      <c r="G1" s="66">
        <v>45566</v>
      </c>
      <c r="H1" s="66">
        <v>45597</v>
      </c>
      <c r="I1" s="66">
        <v>45627</v>
      </c>
      <c r="J1" s="67">
        <v>45658</v>
      </c>
      <c r="K1" s="8">
        <v>45690</v>
      </c>
      <c r="L1" s="8">
        <f t="shared" ref="L1:N1" si="0">K1+7</f>
        <v>45697</v>
      </c>
      <c r="M1" s="8">
        <f t="shared" si="0"/>
        <v>45704</v>
      </c>
      <c r="N1" s="99">
        <f t="shared" si="0"/>
        <v>45711</v>
      </c>
      <c r="O1" s="100">
        <v>45689</v>
      </c>
      <c r="P1" s="8" t="s">
        <v>4</v>
      </c>
      <c r="Q1" s="8" t="s">
        <v>5</v>
      </c>
      <c r="R1" s="8" t="s">
        <v>6</v>
      </c>
      <c r="S1" s="8" t="s">
        <v>7</v>
      </c>
      <c r="T1" s="100">
        <v>45717</v>
      </c>
      <c r="U1" s="8" t="s">
        <v>8</v>
      </c>
      <c r="V1" s="8" t="s">
        <v>9</v>
      </c>
      <c r="W1" s="164" t="s">
        <v>10</v>
      </c>
      <c r="X1" s="8" t="s">
        <v>11</v>
      </c>
      <c r="Y1" s="195" t="s">
        <v>12</v>
      </c>
      <c r="Z1" s="100">
        <v>45748</v>
      </c>
      <c r="AA1" s="8" t="s">
        <v>13</v>
      </c>
      <c r="AB1" s="8" t="s">
        <v>14</v>
      </c>
      <c r="AC1" s="8" t="s">
        <v>15</v>
      </c>
      <c r="AD1" s="99" t="s">
        <v>16</v>
      </c>
      <c r="AE1" s="207">
        <v>45778</v>
      </c>
      <c r="AF1" s="8" t="s">
        <v>17</v>
      </c>
      <c r="AG1" s="8" t="s">
        <v>18</v>
      </c>
      <c r="AH1" s="8" t="s">
        <v>19</v>
      </c>
      <c r="AI1" s="99" t="s">
        <v>20</v>
      </c>
      <c r="AJ1" s="207">
        <v>45809</v>
      </c>
      <c r="AK1" s="8" t="s">
        <v>21</v>
      </c>
      <c r="AL1" s="8" t="s">
        <v>22</v>
      </c>
      <c r="AM1" s="8" t="s">
        <v>23</v>
      </c>
      <c r="AN1" s="8" t="s">
        <v>24</v>
      </c>
      <c r="AO1" s="99" t="s">
        <v>25</v>
      </c>
      <c r="AP1" s="207">
        <v>45839</v>
      </c>
      <c r="AQ1" s="99" t="s">
        <v>26</v>
      </c>
      <c r="AR1" s="99" t="s">
        <v>27</v>
      </c>
      <c r="AS1" s="99" t="s">
        <v>28</v>
      </c>
      <c r="AT1" s="99" t="s">
        <v>29</v>
      </c>
      <c r="AU1" s="207">
        <v>45870</v>
      </c>
      <c r="AV1" s="99" t="s">
        <v>30</v>
      </c>
      <c r="AW1" s="99" t="s">
        <v>31</v>
      </c>
      <c r="AX1" s="99" t="s">
        <v>32</v>
      </c>
      <c r="AY1" s="99" t="s">
        <v>33</v>
      </c>
      <c r="AZ1" s="207">
        <v>45901</v>
      </c>
      <c r="BA1" s="99" t="s">
        <v>34</v>
      </c>
      <c r="BB1" s="99" t="s">
        <v>35</v>
      </c>
      <c r="BC1" s="99" t="s">
        <v>36</v>
      </c>
      <c r="BD1" s="99" t="s">
        <v>37</v>
      </c>
      <c r="BE1" s="99" t="s">
        <v>38</v>
      </c>
      <c r="BF1" s="207">
        <v>45931</v>
      </c>
      <c r="BG1" s="99" t="s">
        <v>39</v>
      </c>
      <c r="BH1" s="99" t="s">
        <v>40</v>
      </c>
      <c r="BI1" s="99" t="s">
        <v>41</v>
      </c>
      <c r="BJ1" s="99" t="s">
        <v>42</v>
      </c>
      <c r="BK1" s="207">
        <v>45962</v>
      </c>
      <c r="BL1" s="99" t="s">
        <v>43</v>
      </c>
      <c r="BM1" s="99" t="s">
        <v>44</v>
      </c>
      <c r="BN1" s="99" t="s">
        <v>45</v>
      </c>
      <c r="BO1" s="99" t="s">
        <v>46</v>
      </c>
      <c r="BP1" s="99" t="s">
        <v>47</v>
      </c>
      <c r="BQ1" s="207">
        <v>45992</v>
      </c>
      <c r="BR1" s="99" t="s">
        <v>48</v>
      </c>
      <c r="BS1" s="357" t="s">
        <v>49</v>
      </c>
      <c r="BT1" s="357" t="s">
        <v>50</v>
      </c>
      <c r="BU1" s="357" t="s">
        <v>51</v>
      </c>
      <c r="BV1" s="207">
        <v>46023</v>
      </c>
      <c r="BW1" s="357" t="s">
        <v>52</v>
      </c>
      <c r="BX1" s="357" t="s">
        <v>53</v>
      </c>
      <c r="BY1" s="357" t="s">
        <v>54</v>
      </c>
      <c r="BZ1" s="357" t="s">
        <v>55</v>
      </c>
      <c r="CA1" s="207">
        <v>46054</v>
      </c>
      <c r="CB1" s="357" t="s">
        <v>56</v>
      </c>
      <c r="CC1" s="357" t="s">
        <v>57</v>
      </c>
      <c r="CD1" s="357" t="s">
        <v>58</v>
      </c>
      <c r="CE1" s="357" t="s">
        <v>59</v>
      </c>
      <c r="CF1" s="207">
        <v>46082</v>
      </c>
      <c r="CG1" s="357" t="s">
        <v>60</v>
      </c>
      <c r="CH1" s="357" t="s">
        <v>61</v>
      </c>
      <c r="CI1" s="357" t="s">
        <v>62</v>
      </c>
      <c r="CJ1" s="357" t="s">
        <v>63</v>
      </c>
      <c r="CK1" s="357" t="s">
        <v>64</v>
      </c>
      <c r="CL1" s="207">
        <v>46113</v>
      </c>
      <c r="CM1" s="207">
        <v>46168</v>
      </c>
      <c r="CN1" s="207">
        <v>46199</v>
      </c>
      <c r="CO1" s="207">
        <v>46229</v>
      </c>
      <c r="CP1" s="207">
        <v>46260</v>
      </c>
      <c r="CQ1" s="207">
        <v>46291</v>
      </c>
      <c r="CR1" s="207">
        <v>46321</v>
      </c>
      <c r="CS1" s="207">
        <v>46352</v>
      </c>
      <c r="CT1" s="207">
        <v>46382</v>
      </c>
      <c r="CU1" s="207"/>
    </row>
    <row r="2" spans="1:99" s="11" customFormat="1">
      <c r="A2" s="281" t="s">
        <v>65</v>
      </c>
      <c r="B2" s="10"/>
      <c r="C2" s="36"/>
      <c r="E2" s="81"/>
      <c r="F2" s="41"/>
      <c r="G2" s="41"/>
      <c r="H2" s="41"/>
      <c r="I2" s="41"/>
      <c r="J2" s="68"/>
      <c r="K2" s="41"/>
      <c r="L2" s="41"/>
      <c r="M2" s="41"/>
      <c r="N2" s="41"/>
      <c r="O2" s="101"/>
      <c r="T2" s="101"/>
      <c r="Z2" s="110"/>
      <c r="AA2" s="41"/>
      <c r="AB2" s="41"/>
      <c r="AE2" s="101"/>
      <c r="AJ2" s="101"/>
      <c r="AP2" s="101"/>
      <c r="AU2" s="101"/>
      <c r="AZ2" s="101"/>
      <c r="BF2" s="101"/>
      <c r="BK2" s="101"/>
      <c r="BQ2" s="101"/>
      <c r="BV2" s="101"/>
      <c r="CA2" s="101"/>
      <c r="CD2" s="41"/>
      <c r="CE2" s="41"/>
      <c r="CF2" s="101"/>
      <c r="CG2" s="41"/>
      <c r="CH2" s="41"/>
      <c r="CI2" s="41"/>
      <c r="CJ2" s="41"/>
      <c r="CK2" s="41"/>
      <c r="CL2" s="101"/>
    </row>
    <row r="3" spans="1:99">
      <c r="B3" t="s">
        <v>66</v>
      </c>
      <c r="D3" t="s">
        <v>67</v>
      </c>
      <c r="E3" s="82">
        <v>331506</v>
      </c>
      <c r="F3" s="42">
        <v>348407</v>
      </c>
      <c r="G3" s="42">
        <v>355740</v>
      </c>
      <c r="H3" s="42">
        <v>371615</v>
      </c>
      <c r="I3" s="42">
        <v>376565</v>
      </c>
      <c r="J3" s="94">
        <v>341632.41</v>
      </c>
      <c r="K3" s="42"/>
      <c r="L3" s="42"/>
      <c r="M3" s="42"/>
      <c r="O3" s="120">
        <v>304984.36</v>
      </c>
      <c r="T3" s="120">
        <v>396523.82</v>
      </c>
      <c r="Z3" s="121">
        <v>281505.68</v>
      </c>
      <c r="AE3" s="120">
        <v>213896.51</v>
      </c>
      <c r="AJ3" s="120">
        <v>159729.23000000001</v>
      </c>
      <c r="AP3" s="120">
        <f>146193.91-30578.04</f>
        <v>115615.87</v>
      </c>
      <c r="AU3" s="120">
        <v>27477.25</v>
      </c>
      <c r="AZ3" s="120">
        <v>92359.98</v>
      </c>
      <c r="BF3" s="120">
        <v>216827.32</v>
      </c>
      <c r="BK3" s="120">
        <v>367933.79</v>
      </c>
      <c r="BQ3" s="120">
        <v>394359</v>
      </c>
      <c r="BV3" s="120">
        <v>349827.72</v>
      </c>
      <c r="CA3" s="120">
        <v>294290.48</v>
      </c>
      <c r="CF3" s="120">
        <v>205186</v>
      </c>
      <c r="CL3" s="120"/>
    </row>
    <row r="4" spans="1:99">
      <c r="B4" t="s">
        <v>66</v>
      </c>
      <c r="D4" t="s">
        <v>68</v>
      </c>
      <c r="E4" s="82">
        <v>297594</v>
      </c>
      <c r="F4" s="42">
        <v>321259</v>
      </c>
      <c r="G4" s="42">
        <v>318712</v>
      </c>
      <c r="H4" s="42">
        <v>315344</v>
      </c>
      <c r="I4" s="42">
        <v>298592</v>
      </c>
      <c r="J4" s="94">
        <v>281929.78000000003</v>
      </c>
      <c r="K4" s="42"/>
      <c r="L4" s="42"/>
      <c r="M4" s="42"/>
      <c r="O4" s="120">
        <v>253187.03</v>
      </c>
      <c r="T4" s="120">
        <v>292861.01</v>
      </c>
      <c r="Z4" s="121">
        <v>378958</v>
      </c>
      <c r="AE4" s="120">
        <v>517157.25</v>
      </c>
      <c r="AJ4" s="120">
        <v>493731.61</v>
      </c>
      <c r="AP4" s="120">
        <f>555221.24-37061.99</f>
        <v>518159.25</v>
      </c>
      <c r="AU4" s="120">
        <v>458612.49</v>
      </c>
      <c r="AZ4" s="120">
        <v>473498.96</v>
      </c>
      <c r="BF4" s="120">
        <v>366553.37</v>
      </c>
      <c r="BK4" s="120">
        <v>281253.03000000003</v>
      </c>
      <c r="BQ4" s="120">
        <v>248739</v>
      </c>
      <c r="BV4" s="120">
        <v>205332.16</v>
      </c>
      <c r="CA4" s="120">
        <v>277259.46999999997</v>
      </c>
      <c r="CF4" s="120">
        <v>410644</v>
      </c>
      <c r="CL4" s="120"/>
    </row>
    <row r="5" spans="1:99">
      <c r="B5" t="s">
        <v>66</v>
      </c>
      <c r="D5" t="s">
        <v>69</v>
      </c>
      <c r="E5" s="82">
        <v>572472</v>
      </c>
      <c r="F5" s="42">
        <v>589928</v>
      </c>
      <c r="G5" s="42">
        <v>635995</v>
      </c>
      <c r="H5" s="42">
        <v>766813</v>
      </c>
      <c r="I5" s="42">
        <v>1614478</v>
      </c>
      <c r="J5" s="94">
        <v>1399891.37</v>
      </c>
      <c r="K5" s="42"/>
      <c r="L5" s="42"/>
      <c r="M5" s="42"/>
      <c r="O5" s="120">
        <v>1286540.7</v>
      </c>
      <c r="T5" s="120">
        <v>1576946.44</v>
      </c>
      <c r="Z5" s="175">
        <f>1154052.3+394359.5</f>
        <v>1548411.8</v>
      </c>
      <c r="AE5" s="120">
        <v>1643627.94</v>
      </c>
      <c r="AJ5" s="120">
        <v>1715613.63</v>
      </c>
      <c r="AP5" s="120">
        <f>((2340147.62-331600.55)*0.97)-(208503.49-57934.79)</f>
        <v>1797721.9579</v>
      </c>
      <c r="AU5" s="120">
        <f>1357916+505467.59</f>
        <v>1863383.59</v>
      </c>
      <c r="AZ5" s="120">
        <v>1738676.5</v>
      </c>
      <c r="BF5" s="120">
        <v>1771967.72</v>
      </c>
      <c r="BK5" s="120">
        <v>1679318.24</v>
      </c>
      <c r="BQ5" s="120">
        <v>1802326</v>
      </c>
      <c r="BV5" s="120">
        <v>1804009.39</v>
      </c>
      <c r="CA5" s="120">
        <v>1620968.2</v>
      </c>
      <c r="CF5" s="120">
        <v>1805725</v>
      </c>
      <c r="CL5" s="120"/>
    </row>
    <row r="6" spans="1:99" s="11" customFormat="1">
      <c r="A6" s="281" t="s">
        <v>70</v>
      </c>
      <c r="B6" s="10"/>
      <c r="C6" s="129" t="s">
        <v>71</v>
      </c>
      <c r="E6" s="81"/>
      <c r="F6" s="41"/>
      <c r="G6" s="41"/>
      <c r="H6" s="41"/>
      <c r="I6" s="41"/>
      <c r="J6" s="216">
        <f>SUM(J3:J5)</f>
        <v>2023453.56</v>
      </c>
      <c r="K6" s="41"/>
      <c r="L6" s="41"/>
      <c r="M6" s="41"/>
      <c r="N6" s="41"/>
      <c r="O6" s="163">
        <f>SUM(O3:O5)</f>
        <v>1844712.0899999999</v>
      </c>
      <c r="T6" s="163">
        <f>SUM(T3:T5)</f>
        <v>2266331.27</v>
      </c>
      <c r="Z6" s="163">
        <f>SUM(Z3:Z5)</f>
        <v>2208875.48</v>
      </c>
      <c r="AA6" s="41"/>
      <c r="AB6" s="41"/>
      <c r="AE6" s="163">
        <f>SUM(AE3:AE5)</f>
        <v>2374681.7000000002</v>
      </c>
      <c r="AF6" s="271">
        <f t="shared" ref="AF6:AJ6" si="1">SUM(AF3:AF5)</f>
        <v>0</v>
      </c>
      <c r="AG6" s="270">
        <f t="shared" si="1"/>
        <v>0</v>
      </c>
      <c r="AH6" s="270">
        <f t="shared" si="1"/>
        <v>0</v>
      </c>
      <c r="AI6" s="216">
        <f t="shared" si="1"/>
        <v>0</v>
      </c>
      <c r="AJ6" s="163">
        <f t="shared" si="1"/>
        <v>2369074.4699999997</v>
      </c>
      <c r="AP6" s="163">
        <f t="shared" ref="AP6" si="2">SUM(AP3:AP5)</f>
        <v>2431497.0778999999</v>
      </c>
      <c r="AU6" s="163">
        <f>SUM(AU3:AU5)</f>
        <v>2349473.33</v>
      </c>
      <c r="AZ6" s="163">
        <f>SUM(AZ3:AZ5)</f>
        <v>2304535.44</v>
      </c>
      <c r="BF6" s="163">
        <f>SUM(BF3:BF5)</f>
        <v>2355348.41</v>
      </c>
      <c r="BK6" s="163">
        <f>SUM(BK3:BK5)</f>
        <v>2328505.06</v>
      </c>
      <c r="BQ6" s="163">
        <f>SUM(BQ3:BQ5)</f>
        <v>2445424</v>
      </c>
      <c r="BV6" s="163">
        <f>SUM(BV3:BV5)</f>
        <v>2359169.27</v>
      </c>
      <c r="BW6" s="163">
        <f t="shared" ref="BW6:CA6" si="3">SUM(BW3:BW5)</f>
        <v>0</v>
      </c>
      <c r="BX6" s="163">
        <f t="shared" si="3"/>
        <v>0</v>
      </c>
      <c r="BY6" s="163">
        <f t="shared" si="3"/>
        <v>0</v>
      </c>
      <c r="BZ6" s="163">
        <f t="shared" si="3"/>
        <v>0</v>
      </c>
      <c r="CA6" s="163">
        <f t="shared" si="3"/>
        <v>2192518.15</v>
      </c>
      <c r="CD6" s="41"/>
      <c r="CE6" s="41"/>
      <c r="CF6" s="163">
        <f t="shared" ref="CF6" si="4">SUM(CF3:CF5)</f>
        <v>2421555</v>
      </c>
      <c r="CG6" s="41"/>
      <c r="CH6" s="41"/>
      <c r="CI6" s="41"/>
      <c r="CJ6" s="41"/>
      <c r="CK6" s="41"/>
      <c r="CL6" s="163">
        <f t="shared" ref="CL6" si="5">SUM(CL3:CL5)</f>
        <v>0</v>
      </c>
    </row>
    <row r="7" spans="1:99">
      <c r="B7" t="s">
        <v>72</v>
      </c>
      <c r="C7" s="30">
        <v>170</v>
      </c>
      <c r="D7" t="s">
        <v>67</v>
      </c>
      <c r="E7" s="83">
        <v>143</v>
      </c>
      <c r="F7" s="45">
        <v>149</v>
      </c>
      <c r="G7" s="45">
        <v>145</v>
      </c>
      <c r="H7" s="45">
        <v>154</v>
      </c>
      <c r="I7" s="45">
        <v>157</v>
      </c>
      <c r="J7" s="70">
        <v>155</v>
      </c>
      <c r="K7" s="45">
        <v>153</v>
      </c>
      <c r="L7" s="45">
        <v>152</v>
      </c>
      <c r="M7" s="45">
        <v>149</v>
      </c>
      <c r="N7" s="45">
        <v>150</v>
      </c>
      <c r="O7" s="103">
        <v>148</v>
      </c>
      <c r="P7" s="29">
        <v>150</v>
      </c>
      <c r="Q7" s="29">
        <v>153</v>
      </c>
      <c r="R7" s="29">
        <v>156</v>
      </c>
      <c r="S7" s="29">
        <v>162</v>
      </c>
      <c r="T7" s="106">
        <v>154</v>
      </c>
      <c r="U7" s="29">
        <v>156</v>
      </c>
      <c r="V7" s="29">
        <v>145</v>
      </c>
      <c r="W7" s="29">
        <v>137</v>
      </c>
      <c r="X7" s="29">
        <v>130</v>
      </c>
      <c r="Y7" s="29">
        <v>122</v>
      </c>
      <c r="Z7" s="106">
        <v>135</v>
      </c>
      <c r="AA7" s="40">
        <v>110</v>
      </c>
      <c r="AB7" s="40">
        <v>102</v>
      </c>
      <c r="AC7" s="40">
        <v>95</v>
      </c>
      <c r="AD7" s="40">
        <v>88</v>
      </c>
      <c r="AE7" s="106">
        <v>98</v>
      </c>
      <c r="AF7" s="40">
        <v>83</v>
      </c>
      <c r="AG7" s="40">
        <v>77</v>
      </c>
      <c r="AH7" s="40">
        <v>71</v>
      </c>
      <c r="AI7" s="40">
        <v>69</v>
      </c>
      <c r="AJ7" s="106">
        <v>72</v>
      </c>
      <c r="AK7" s="40">
        <v>65</v>
      </c>
      <c r="AL7" s="40">
        <v>64</v>
      </c>
      <c r="AM7" s="40">
        <v>63</v>
      </c>
      <c r="AN7" s="40">
        <v>61</v>
      </c>
      <c r="AO7" s="40">
        <v>58</v>
      </c>
      <c r="AP7" s="106">
        <v>59</v>
      </c>
      <c r="AQ7" s="40">
        <v>55</v>
      </c>
      <c r="AR7" s="40">
        <v>53</v>
      </c>
      <c r="AS7" s="40">
        <v>53</v>
      </c>
      <c r="AT7" s="40">
        <v>52</v>
      </c>
      <c r="AU7" s="106">
        <v>52</v>
      </c>
      <c r="AV7" s="40">
        <v>53</v>
      </c>
      <c r="AW7" s="40">
        <v>51</v>
      </c>
      <c r="AX7" s="40">
        <v>48</v>
      </c>
      <c r="AY7" s="40">
        <v>48</v>
      </c>
      <c r="AZ7" s="106">
        <v>49</v>
      </c>
      <c r="BA7" s="40">
        <v>57</v>
      </c>
      <c r="BB7" s="40">
        <v>72</v>
      </c>
      <c r="BC7" s="40">
        <v>83</v>
      </c>
      <c r="BD7" s="40">
        <v>92</v>
      </c>
      <c r="BE7" s="40">
        <v>107</v>
      </c>
      <c r="BF7" s="106">
        <v>83</v>
      </c>
      <c r="BG7" s="40">
        <v>118</v>
      </c>
      <c r="BH7" s="40">
        <v>136</v>
      </c>
      <c r="BI7" s="40">
        <v>148</v>
      </c>
      <c r="BJ7" s="40">
        <v>155</v>
      </c>
      <c r="BK7" s="106">
        <v>139</v>
      </c>
      <c r="BL7" s="40">
        <v>159</v>
      </c>
      <c r="BM7" s="40">
        <v>156</v>
      </c>
      <c r="BN7" s="40">
        <v>155</v>
      </c>
      <c r="BO7" s="40">
        <v>151</v>
      </c>
      <c r="BP7" s="40">
        <v>146</v>
      </c>
      <c r="BQ7" s="103">
        <v>152</v>
      </c>
      <c r="BR7" s="40">
        <v>143</v>
      </c>
      <c r="BS7" s="40">
        <v>145</v>
      </c>
      <c r="BT7" s="40">
        <v>148</v>
      </c>
      <c r="BU7" s="40">
        <v>152</v>
      </c>
      <c r="BV7" s="103">
        <v>145</v>
      </c>
      <c r="BW7" s="40">
        <v>158</v>
      </c>
      <c r="BX7" s="40">
        <v>148</v>
      </c>
      <c r="BY7" s="40">
        <v>135</v>
      </c>
      <c r="BZ7" s="40">
        <v>128</v>
      </c>
      <c r="CA7" s="103">
        <v>140</v>
      </c>
      <c r="CB7" s="40">
        <v>117</v>
      </c>
      <c r="CC7" s="40">
        <v>103</v>
      </c>
      <c r="CD7" s="40">
        <v>89</v>
      </c>
      <c r="CE7" s="40">
        <v>77</v>
      </c>
      <c r="CF7" s="103">
        <v>93</v>
      </c>
      <c r="CG7" s="40">
        <v>66</v>
      </c>
      <c r="CH7" s="40">
        <v>60</v>
      </c>
      <c r="CI7" s="40">
        <v>56</v>
      </c>
      <c r="CJ7" s="40">
        <v>52</v>
      </c>
      <c r="CK7" s="40">
        <v>49</v>
      </c>
      <c r="CL7" s="103">
        <v>55</v>
      </c>
    </row>
    <row r="8" spans="1:99">
      <c r="B8" t="s">
        <v>72</v>
      </c>
      <c r="C8" s="30">
        <v>155</v>
      </c>
      <c r="D8" t="s">
        <v>68</v>
      </c>
      <c r="E8" s="83">
        <v>125</v>
      </c>
      <c r="F8" s="45">
        <v>133</v>
      </c>
      <c r="G8" s="45">
        <v>133</v>
      </c>
      <c r="H8" s="45">
        <v>135</v>
      </c>
      <c r="I8" s="45">
        <v>122</v>
      </c>
      <c r="J8" s="70">
        <v>115</v>
      </c>
      <c r="K8" s="45">
        <v>113</v>
      </c>
      <c r="L8" s="45">
        <v>112</v>
      </c>
      <c r="M8" s="45">
        <v>113</v>
      </c>
      <c r="N8" s="45">
        <v>115</v>
      </c>
      <c r="O8" s="103">
        <v>113</v>
      </c>
      <c r="P8" s="29">
        <v>112</v>
      </c>
      <c r="Q8" s="29">
        <v>115</v>
      </c>
      <c r="R8" s="29">
        <v>118</v>
      </c>
      <c r="S8" s="29">
        <v>115</v>
      </c>
      <c r="T8" s="106">
        <v>114</v>
      </c>
      <c r="U8" s="29">
        <v>122</v>
      </c>
      <c r="V8" s="29">
        <v>133</v>
      </c>
      <c r="W8" s="29">
        <v>146</v>
      </c>
      <c r="X8" s="29">
        <v>157</v>
      </c>
      <c r="Y8" s="29">
        <v>176</v>
      </c>
      <c r="Z8" s="106">
        <v>144</v>
      </c>
      <c r="AA8" s="40">
        <v>182</v>
      </c>
      <c r="AB8" s="40">
        <v>190</v>
      </c>
      <c r="AC8" s="40">
        <v>194</v>
      </c>
      <c r="AD8" s="40">
        <v>198</v>
      </c>
      <c r="AE8" s="106">
        <v>187</v>
      </c>
      <c r="AF8" s="40">
        <v>194</v>
      </c>
      <c r="AG8" s="40">
        <v>190</v>
      </c>
      <c r="AH8" s="40">
        <v>192</v>
      </c>
      <c r="AI8" s="40">
        <v>200</v>
      </c>
      <c r="AJ8" s="106">
        <v>190</v>
      </c>
      <c r="AK8" s="40">
        <v>214</v>
      </c>
      <c r="AL8" s="40">
        <v>215</v>
      </c>
      <c r="AM8" s="40">
        <v>222</v>
      </c>
      <c r="AN8" s="40">
        <v>226</v>
      </c>
      <c r="AO8" s="40">
        <v>230</v>
      </c>
      <c r="AP8" s="106">
        <v>212</v>
      </c>
      <c r="AQ8" s="40">
        <v>236</v>
      </c>
      <c r="AR8" s="40">
        <v>235</v>
      </c>
      <c r="AS8" s="40">
        <v>229</v>
      </c>
      <c r="AT8" s="40">
        <v>222</v>
      </c>
      <c r="AU8" s="106">
        <v>222</v>
      </c>
      <c r="AV8" s="40">
        <v>217</v>
      </c>
      <c r="AW8" s="40">
        <v>219</v>
      </c>
      <c r="AX8" s="40">
        <v>223</v>
      </c>
      <c r="AY8" s="40">
        <v>217</v>
      </c>
      <c r="AZ8" s="106">
        <v>215</v>
      </c>
      <c r="BA8" s="40">
        <v>206</v>
      </c>
      <c r="BB8" s="40">
        <v>187</v>
      </c>
      <c r="BC8" s="40">
        <v>175</v>
      </c>
      <c r="BD8" s="40">
        <v>170</v>
      </c>
      <c r="BE8" s="40">
        <v>161</v>
      </c>
      <c r="BF8" s="106">
        <v>176</v>
      </c>
      <c r="BG8" s="40">
        <v>155</v>
      </c>
      <c r="BH8" s="40">
        <v>146</v>
      </c>
      <c r="BI8" s="40">
        <v>140</v>
      </c>
      <c r="BJ8" s="40">
        <v>132</v>
      </c>
      <c r="BK8" s="106">
        <v>143</v>
      </c>
      <c r="BL8" s="40">
        <v>129</v>
      </c>
      <c r="BM8" s="40">
        <v>123</v>
      </c>
      <c r="BN8" s="40">
        <v>115</v>
      </c>
      <c r="BO8" s="40">
        <v>110</v>
      </c>
      <c r="BP8" s="40">
        <v>102</v>
      </c>
      <c r="BQ8" s="103">
        <v>116</v>
      </c>
      <c r="BR8" s="40">
        <v>94</v>
      </c>
      <c r="BS8" s="40">
        <v>88</v>
      </c>
      <c r="BT8" s="40">
        <v>84</v>
      </c>
      <c r="BU8" s="40">
        <v>85</v>
      </c>
      <c r="BV8" s="103">
        <v>88</v>
      </c>
      <c r="BW8" s="40">
        <v>88</v>
      </c>
      <c r="BX8" s="40">
        <v>102</v>
      </c>
      <c r="BY8" s="40">
        <v>119</v>
      </c>
      <c r="BZ8" s="40">
        <v>129</v>
      </c>
      <c r="CA8" s="103">
        <v>108</v>
      </c>
      <c r="CB8" s="40">
        <v>138</v>
      </c>
      <c r="CC8" s="40">
        <v>154</v>
      </c>
      <c r="CD8" s="40">
        <v>167</v>
      </c>
      <c r="CE8" s="40">
        <v>171</v>
      </c>
      <c r="CF8" s="103">
        <v>159</v>
      </c>
      <c r="CG8" s="40">
        <v>179</v>
      </c>
      <c r="CH8" s="40">
        <v>181</v>
      </c>
      <c r="CI8" s="40">
        <v>182</v>
      </c>
      <c r="CJ8" s="40">
        <v>186</v>
      </c>
      <c r="CK8" s="40">
        <v>201</v>
      </c>
      <c r="CL8" s="103">
        <v>185</v>
      </c>
    </row>
    <row r="9" spans="1:99" s="9" customFormat="1">
      <c r="A9" s="282"/>
      <c r="B9" t="s">
        <v>73</v>
      </c>
      <c r="C9" s="34">
        <f>SUM(C7:C8)</f>
        <v>325</v>
      </c>
      <c r="D9" s="9" t="s">
        <v>74</v>
      </c>
      <c r="E9" s="84">
        <f t="shared" ref="E9:J9" si="6">E7+E8</f>
        <v>268</v>
      </c>
      <c r="F9" s="63">
        <f t="shared" si="6"/>
        <v>282</v>
      </c>
      <c r="G9" s="63">
        <f t="shared" si="6"/>
        <v>278</v>
      </c>
      <c r="H9" s="63">
        <f t="shared" si="6"/>
        <v>289</v>
      </c>
      <c r="I9" s="63">
        <f t="shared" si="6"/>
        <v>279</v>
      </c>
      <c r="J9" s="71">
        <f t="shared" si="6"/>
        <v>270</v>
      </c>
      <c r="K9" s="63">
        <f t="shared" ref="K9:AI9" si="7">K7+K8</f>
        <v>266</v>
      </c>
      <c r="L9" s="63">
        <f t="shared" si="7"/>
        <v>264</v>
      </c>
      <c r="M9" s="63">
        <f t="shared" si="7"/>
        <v>262</v>
      </c>
      <c r="N9" s="63">
        <f t="shared" si="7"/>
        <v>265</v>
      </c>
      <c r="O9" s="104">
        <f>+O8+O7</f>
        <v>261</v>
      </c>
      <c r="P9" s="142">
        <f t="shared" si="7"/>
        <v>262</v>
      </c>
      <c r="Q9" s="142">
        <f t="shared" si="7"/>
        <v>268</v>
      </c>
      <c r="R9" s="142">
        <f t="shared" si="7"/>
        <v>274</v>
      </c>
      <c r="S9" s="142">
        <f t="shared" si="7"/>
        <v>277</v>
      </c>
      <c r="T9" s="112">
        <f>T7+T8</f>
        <v>268</v>
      </c>
      <c r="U9" s="142">
        <f t="shared" si="7"/>
        <v>278</v>
      </c>
      <c r="V9" s="142">
        <f t="shared" si="7"/>
        <v>278</v>
      </c>
      <c r="W9" s="142">
        <f t="shared" si="7"/>
        <v>283</v>
      </c>
      <c r="X9" s="142">
        <f t="shared" si="7"/>
        <v>287</v>
      </c>
      <c r="Y9" s="142">
        <f t="shared" si="7"/>
        <v>298</v>
      </c>
      <c r="Z9" s="112">
        <f t="shared" si="7"/>
        <v>279</v>
      </c>
      <c r="AA9" s="43">
        <f t="shared" si="7"/>
        <v>292</v>
      </c>
      <c r="AB9" s="43">
        <f t="shared" si="7"/>
        <v>292</v>
      </c>
      <c r="AC9" s="43">
        <f t="shared" si="7"/>
        <v>289</v>
      </c>
      <c r="AD9" s="43">
        <f t="shared" si="7"/>
        <v>286</v>
      </c>
      <c r="AE9" s="112">
        <f t="shared" si="7"/>
        <v>285</v>
      </c>
      <c r="AF9" s="43">
        <f t="shared" si="7"/>
        <v>277</v>
      </c>
      <c r="AG9" s="43">
        <f t="shared" si="7"/>
        <v>267</v>
      </c>
      <c r="AH9" s="43">
        <f t="shared" si="7"/>
        <v>263</v>
      </c>
      <c r="AI9" s="43">
        <f t="shared" si="7"/>
        <v>269</v>
      </c>
      <c r="AJ9" s="112">
        <f>+AJ8+AJ7</f>
        <v>262</v>
      </c>
      <c r="AK9" s="43">
        <f t="shared" ref="AK9:AN9" si="8">AK7+AK8</f>
        <v>279</v>
      </c>
      <c r="AL9" s="43">
        <f t="shared" si="8"/>
        <v>279</v>
      </c>
      <c r="AM9" s="43">
        <f t="shared" si="8"/>
        <v>285</v>
      </c>
      <c r="AN9" s="43">
        <f t="shared" si="8"/>
        <v>287</v>
      </c>
      <c r="AO9" s="43">
        <f>AO7+AO8</f>
        <v>288</v>
      </c>
      <c r="AP9" s="112">
        <f>AP7+AP8</f>
        <v>271</v>
      </c>
      <c r="AQ9" s="43">
        <f>AQ7+AQ8</f>
        <v>291</v>
      </c>
      <c r="AR9" s="43">
        <f t="shared" ref="AR9:AT9" si="9">AR7+AR8</f>
        <v>288</v>
      </c>
      <c r="AS9" s="43">
        <f t="shared" si="9"/>
        <v>282</v>
      </c>
      <c r="AT9" s="43">
        <f t="shared" si="9"/>
        <v>274</v>
      </c>
      <c r="AU9" s="112">
        <f t="shared" ref="AU9:BU9" si="10">AU7+AU8</f>
        <v>274</v>
      </c>
      <c r="AV9" s="43">
        <f t="shared" si="10"/>
        <v>270</v>
      </c>
      <c r="AW9" s="43">
        <f t="shared" si="10"/>
        <v>270</v>
      </c>
      <c r="AX9" s="43">
        <f t="shared" si="10"/>
        <v>271</v>
      </c>
      <c r="AY9" s="43">
        <f t="shared" si="10"/>
        <v>265</v>
      </c>
      <c r="AZ9" s="112">
        <f t="shared" si="10"/>
        <v>264</v>
      </c>
      <c r="BA9" s="43">
        <f t="shared" si="10"/>
        <v>263</v>
      </c>
      <c r="BB9" s="43">
        <f t="shared" si="10"/>
        <v>259</v>
      </c>
      <c r="BC9" s="43">
        <f t="shared" si="10"/>
        <v>258</v>
      </c>
      <c r="BD9" s="43">
        <f t="shared" si="10"/>
        <v>262</v>
      </c>
      <c r="BE9" s="43">
        <f t="shared" si="10"/>
        <v>268</v>
      </c>
      <c r="BF9" s="112">
        <f t="shared" si="10"/>
        <v>259</v>
      </c>
      <c r="BG9" s="43">
        <f t="shared" si="10"/>
        <v>273</v>
      </c>
      <c r="BH9" s="43">
        <f t="shared" si="10"/>
        <v>282</v>
      </c>
      <c r="BI9" s="43">
        <f t="shared" si="10"/>
        <v>288</v>
      </c>
      <c r="BJ9" s="43">
        <f t="shared" si="10"/>
        <v>287</v>
      </c>
      <c r="BK9" s="112">
        <f t="shared" si="10"/>
        <v>282</v>
      </c>
      <c r="BL9" s="43">
        <f t="shared" si="10"/>
        <v>288</v>
      </c>
      <c r="BM9" s="43">
        <f t="shared" si="10"/>
        <v>279</v>
      </c>
      <c r="BN9" s="43">
        <f t="shared" si="10"/>
        <v>270</v>
      </c>
      <c r="BO9" s="43">
        <f t="shared" si="10"/>
        <v>261</v>
      </c>
      <c r="BP9" s="43">
        <f t="shared" si="10"/>
        <v>248</v>
      </c>
      <c r="BQ9" s="112">
        <f t="shared" si="10"/>
        <v>268</v>
      </c>
      <c r="BR9" s="43">
        <f t="shared" si="10"/>
        <v>237</v>
      </c>
      <c r="BS9" s="43">
        <f t="shared" si="10"/>
        <v>233</v>
      </c>
      <c r="BT9" s="43">
        <f t="shared" si="10"/>
        <v>232</v>
      </c>
      <c r="BU9" s="43">
        <f t="shared" si="10"/>
        <v>237</v>
      </c>
      <c r="BV9" s="104">
        <f t="shared" ref="BV9" si="11">BV7+BV8</f>
        <v>233</v>
      </c>
      <c r="BW9" s="43">
        <f>BW7+BW8</f>
        <v>246</v>
      </c>
      <c r="BX9" s="43">
        <f>BX7+BX8</f>
        <v>250</v>
      </c>
      <c r="BY9" s="43">
        <f>BY7+BY8</f>
        <v>254</v>
      </c>
      <c r="BZ9" s="43">
        <f>BZ7+BZ8</f>
        <v>257</v>
      </c>
      <c r="CA9" s="104">
        <f t="shared" ref="CA9" si="12">CA7+CA8</f>
        <v>248</v>
      </c>
      <c r="CB9" s="43">
        <f>CB7+CB8</f>
        <v>255</v>
      </c>
      <c r="CC9" s="43">
        <f>CC7+CC8</f>
        <v>257</v>
      </c>
      <c r="CD9" s="43">
        <f>CD7+CD8</f>
        <v>256</v>
      </c>
      <c r="CE9" s="43">
        <f>CE7+CE8</f>
        <v>248</v>
      </c>
      <c r="CF9" s="104">
        <f t="shared" ref="CF9" si="13">CF7+CF8</f>
        <v>252</v>
      </c>
      <c r="CG9" s="43">
        <f>CG7+CG8</f>
        <v>245</v>
      </c>
      <c r="CH9" s="43">
        <f>CH7+CH8</f>
        <v>241</v>
      </c>
      <c r="CI9" s="43">
        <f>CI7+CI8</f>
        <v>238</v>
      </c>
      <c r="CJ9" s="43">
        <f>CJ7+CJ8</f>
        <v>238</v>
      </c>
      <c r="CK9" s="43">
        <f>CK7+CK8</f>
        <v>250</v>
      </c>
      <c r="CL9" s="104">
        <f t="shared" ref="CL9" si="14">CL7+CL8</f>
        <v>240</v>
      </c>
    </row>
    <row r="10" spans="1:99">
      <c r="B10" t="s">
        <v>75</v>
      </c>
      <c r="C10" s="30">
        <v>92</v>
      </c>
      <c r="D10" t="s">
        <v>76</v>
      </c>
      <c r="E10" s="83">
        <v>84.5</v>
      </c>
      <c r="F10" s="45">
        <v>89.5</v>
      </c>
      <c r="G10" s="45">
        <v>87.9</v>
      </c>
      <c r="H10" s="45">
        <v>87.8</v>
      </c>
      <c r="I10" s="45">
        <v>88.6</v>
      </c>
      <c r="J10" s="70">
        <v>80.7</v>
      </c>
      <c r="K10" s="45">
        <v>78</v>
      </c>
      <c r="L10" s="45">
        <v>80</v>
      </c>
      <c r="M10" s="45">
        <v>81</v>
      </c>
      <c r="N10" s="45">
        <v>82</v>
      </c>
      <c r="O10" s="103">
        <v>79.099999999999994</v>
      </c>
      <c r="P10" s="29">
        <v>82</v>
      </c>
      <c r="Q10" s="29">
        <v>86</v>
      </c>
      <c r="R10" s="29">
        <v>88</v>
      </c>
      <c r="S10" s="29">
        <v>88</v>
      </c>
      <c r="T10" s="103">
        <v>85</v>
      </c>
      <c r="U10" s="29">
        <v>89</v>
      </c>
      <c r="V10" s="29">
        <v>89</v>
      </c>
      <c r="W10" s="29">
        <v>91</v>
      </c>
      <c r="X10" s="29">
        <v>92</v>
      </c>
      <c r="Y10" s="29">
        <v>88</v>
      </c>
      <c r="Z10" s="103">
        <v>89.2</v>
      </c>
      <c r="AA10" s="40">
        <v>88</v>
      </c>
      <c r="AB10" s="40">
        <v>93</v>
      </c>
      <c r="AC10" s="40">
        <v>92</v>
      </c>
      <c r="AD10" s="40">
        <v>94</v>
      </c>
      <c r="AE10" s="103">
        <v>90.9</v>
      </c>
      <c r="AF10" s="40">
        <v>93</v>
      </c>
      <c r="AG10" s="40">
        <v>95</v>
      </c>
      <c r="AH10" s="40">
        <v>98</v>
      </c>
      <c r="AI10" s="40">
        <v>98</v>
      </c>
      <c r="AJ10" s="103">
        <f>2+96.2</f>
        <v>98.2</v>
      </c>
      <c r="AK10" s="40">
        <v>99</v>
      </c>
      <c r="AL10" s="40">
        <v>94</v>
      </c>
      <c r="AM10" s="40">
        <v>96</v>
      </c>
      <c r="AN10" s="40">
        <v>100</v>
      </c>
      <c r="AO10" s="40">
        <v>101</v>
      </c>
      <c r="AP10" s="103">
        <f>97.8+2</f>
        <v>99.8</v>
      </c>
      <c r="AQ10" s="40">
        <f>100+2</f>
        <v>102</v>
      </c>
      <c r="AR10" s="40">
        <v>100</v>
      </c>
      <c r="AS10" s="40">
        <v>102</v>
      </c>
      <c r="AT10" s="40">
        <f>105+1</f>
        <v>106</v>
      </c>
      <c r="AU10" s="103">
        <f>100.5+1.8</f>
        <v>102.3</v>
      </c>
      <c r="AV10" s="40">
        <v>108</v>
      </c>
      <c r="AW10" s="40">
        <v>111</v>
      </c>
      <c r="AX10" s="40">
        <v>112</v>
      </c>
      <c r="AY10" s="40">
        <v>111</v>
      </c>
      <c r="AZ10" s="103">
        <v>108.6</v>
      </c>
      <c r="BA10" s="40">
        <v>108</v>
      </c>
      <c r="BB10" s="40">
        <v>110</v>
      </c>
      <c r="BC10" s="40">
        <v>114</v>
      </c>
      <c r="BD10" s="40">
        <v>110</v>
      </c>
      <c r="BE10" s="40">
        <v>113</v>
      </c>
      <c r="BF10" s="103">
        <v>110</v>
      </c>
      <c r="BG10" s="40">
        <v>110</v>
      </c>
      <c r="BH10" s="40">
        <v>112</v>
      </c>
      <c r="BI10" s="40">
        <v>112</v>
      </c>
      <c r="BJ10" s="40">
        <v>110</v>
      </c>
      <c r="BK10" s="103">
        <v>109.8</v>
      </c>
      <c r="BL10" s="40">
        <v>111</v>
      </c>
      <c r="BM10" s="40">
        <v>114</v>
      </c>
      <c r="BN10" s="40">
        <v>117</v>
      </c>
      <c r="BO10" s="40">
        <v>117</v>
      </c>
      <c r="BP10" s="40">
        <v>118</v>
      </c>
      <c r="BQ10" s="103">
        <v>114.7</v>
      </c>
      <c r="BR10" s="40">
        <v>117</v>
      </c>
      <c r="BS10" s="40">
        <v>117</v>
      </c>
      <c r="BT10" s="40">
        <v>117</v>
      </c>
      <c r="BU10" s="40">
        <v>115</v>
      </c>
      <c r="BV10" s="103">
        <v>115.4</v>
      </c>
      <c r="BW10" s="40">
        <v>116</v>
      </c>
      <c r="BX10" s="40">
        <v>121</v>
      </c>
      <c r="BY10" s="40">
        <v>122</v>
      </c>
      <c r="BZ10" s="40">
        <v>123</v>
      </c>
      <c r="CA10" s="103">
        <v>119.9</v>
      </c>
      <c r="CB10" s="40">
        <v>128</v>
      </c>
      <c r="CC10" s="40">
        <v>128</v>
      </c>
      <c r="CD10" s="40">
        <v>125</v>
      </c>
      <c r="CE10" s="40">
        <v>124</v>
      </c>
      <c r="CF10" s="103">
        <v>125.3</v>
      </c>
      <c r="CG10" s="40">
        <v>125</v>
      </c>
      <c r="CH10" s="40">
        <v>125</v>
      </c>
      <c r="CI10" s="40">
        <v>125</v>
      </c>
      <c r="CJ10" s="40">
        <v>120</v>
      </c>
      <c r="CK10" s="40">
        <v>120</v>
      </c>
      <c r="CL10" s="103">
        <v>123</v>
      </c>
    </row>
    <row r="11" spans="1:99">
      <c r="B11" t="s">
        <v>75</v>
      </c>
      <c r="C11" s="30">
        <v>45</v>
      </c>
      <c r="D11" t="s">
        <v>77</v>
      </c>
      <c r="E11" s="83">
        <v>35.58</v>
      </c>
      <c r="F11" s="45">
        <v>32.43</v>
      </c>
      <c r="G11" s="45">
        <v>35.94</v>
      </c>
      <c r="H11" s="45">
        <v>31.5</v>
      </c>
      <c r="I11" s="45">
        <v>32.200000000000003</v>
      </c>
      <c r="J11" s="70">
        <v>36.700000000000003</v>
      </c>
      <c r="K11" s="45">
        <v>36</v>
      </c>
      <c r="L11" s="45">
        <v>36</v>
      </c>
      <c r="M11" s="45">
        <v>38</v>
      </c>
      <c r="N11" s="45">
        <v>36.6</v>
      </c>
      <c r="O11" s="103">
        <v>36.6</v>
      </c>
      <c r="P11" s="29">
        <v>36.200000000000003</v>
      </c>
      <c r="Q11" s="29">
        <v>34</v>
      </c>
      <c r="R11" s="29">
        <v>34</v>
      </c>
      <c r="S11" s="29">
        <v>33</v>
      </c>
      <c r="T11" s="103">
        <v>35.4</v>
      </c>
      <c r="U11" s="29">
        <v>32</v>
      </c>
      <c r="V11" s="29">
        <v>32</v>
      </c>
      <c r="W11" s="29">
        <v>32</v>
      </c>
      <c r="X11" s="29">
        <v>33</v>
      </c>
      <c r="Y11" s="29">
        <v>33</v>
      </c>
      <c r="Z11" s="106">
        <v>33.299999999999997</v>
      </c>
      <c r="AA11" s="40">
        <v>31</v>
      </c>
      <c r="AB11" s="40">
        <v>31</v>
      </c>
      <c r="AC11" s="40">
        <v>33</v>
      </c>
      <c r="AD11" s="40">
        <v>35</v>
      </c>
      <c r="AE11" s="103">
        <v>33.799999999999997</v>
      </c>
      <c r="AF11" s="40">
        <v>35</v>
      </c>
      <c r="AG11" s="40">
        <v>37</v>
      </c>
      <c r="AH11" s="40">
        <v>37</v>
      </c>
      <c r="AI11" s="40">
        <v>38</v>
      </c>
      <c r="AJ11" s="103">
        <f>36.7+1</f>
        <v>37.700000000000003</v>
      </c>
      <c r="AK11" s="40">
        <v>37</v>
      </c>
      <c r="AL11" s="40">
        <v>39</v>
      </c>
      <c r="AM11" s="40">
        <v>39</v>
      </c>
      <c r="AN11" s="40">
        <v>39</v>
      </c>
      <c r="AO11" s="40">
        <v>39</v>
      </c>
      <c r="AP11" s="103">
        <f>38.9+1</f>
        <v>39.9</v>
      </c>
      <c r="AQ11" s="40">
        <f>40+2</f>
        <v>42</v>
      </c>
      <c r="AR11" s="40">
        <v>45</v>
      </c>
      <c r="AS11" s="40">
        <f>47+1</f>
        <v>48</v>
      </c>
      <c r="AT11" s="40">
        <f>46+1</f>
        <v>47</v>
      </c>
      <c r="AU11" s="103">
        <f>43.6+1.4</f>
        <v>45</v>
      </c>
      <c r="AV11" s="40">
        <v>46</v>
      </c>
      <c r="AW11" s="40">
        <v>46</v>
      </c>
      <c r="AX11" s="40">
        <v>48</v>
      </c>
      <c r="AY11" s="40">
        <v>47</v>
      </c>
      <c r="AZ11" s="103">
        <v>46.6</v>
      </c>
      <c r="BA11" s="40">
        <v>46</v>
      </c>
      <c r="BB11" s="40">
        <v>44</v>
      </c>
      <c r="BC11" s="40">
        <v>45</v>
      </c>
      <c r="BD11" s="40">
        <v>45</v>
      </c>
      <c r="BE11" s="40">
        <v>45</v>
      </c>
      <c r="BF11" s="103">
        <v>44.7</v>
      </c>
      <c r="BG11" s="40">
        <v>46</v>
      </c>
      <c r="BH11" s="40">
        <v>44</v>
      </c>
      <c r="BI11" s="40">
        <v>43</v>
      </c>
      <c r="BJ11" s="40">
        <v>43</v>
      </c>
      <c r="BK11" s="103">
        <f>1+42.7</f>
        <v>43.7</v>
      </c>
      <c r="BL11" s="40">
        <v>41</v>
      </c>
      <c r="BM11" s="40">
        <v>43</v>
      </c>
      <c r="BN11" s="40">
        <v>44</v>
      </c>
      <c r="BO11" s="40">
        <v>44</v>
      </c>
      <c r="BP11" s="40">
        <v>44</v>
      </c>
      <c r="BQ11" s="103">
        <v>43.2</v>
      </c>
      <c r="BR11" s="40">
        <v>42</v>
      </c>
      <c r="BS11" s="40">
        <v>40</v>
      </c>
      <c r="BT11" s="40">
        <v>39</v>
      </c>
      <c r="BU11" s="40">
        <v>38</v>
      </c>
      <c r="BV11" s="103">
        <v>40</v>
      </c>
      <c r="BW11" s="40">
        <v>39</v>
      </c>
      <c r="BX11" s="40">
        <v>42</v>
      </c>
      <c r="BY11" s="40">
        <v>42</v>
      </c>
      <c r="BZ11" s="40">
        <v>43</v>
      </c>
      <c r="CA11" s="103">
        <v>41.3</v>
      </c>
      <c r="CB11" s="40">
        <v>44</v>
      </c>
      <c r="CC11" s="40">
        <v>44</v>
      </c>
      <c r="CD11" s="40">
        <v>45</v>
      </c>
      <c r="CE11" s="40">
        <v>46</v>
      </c>
      <c r="CF11" s="103">
        <v>44.9</v>
      </c>
      <c r="CG11" s="40">
        <v>46</v>
      </c>
      <c r="CH11" s="40">
        <v>46</v>
      </c>
      <c r="CI11" s="40">
        <v>47</v>
      </c>
      <c r="CJ11" s="40">
        <v>50</v>
      </c>
      <c r="CK11" s="40">
        <v>52</v>
      </c>
      <c r="CL11" s="103">
        <v>48</v>
      </c>
    </row>
    <row r="12" spans="1:99">
      <c r="B12" t="s">
        <v>75</v>
      </c>
      <c r="C12" s="30">
        <v>35</v>
      </c>
      <c r="D12" t="s">
        <v>78</v>
      </c>
      <c r="E12" s="83">
        <v>20.55</v>
      </c>
      <c r="F12" s="45">
        <v>22.87</v>
      </c>
      <c r="G12" s="45">
        <v>27.45</v>
      </c>
      <c r="H12" s="45">
        <v>22.33</v>
      </c>
      <c r="I12" s="45">
        <v>25.7</v>
      </c>
      <c r="J12" s="70">
        <v>25.6</v>
      </c>
      <c r="K12" s="45">
        <v>24.5</v>
      </c>
      <c r="L12" s="45">
        <v>25</v>
      </c>
      <c r="M12" s="45">
        <v>24</v>
      </c>
      <c r="N12" s="45">
        <v>26</v>
      </c>
      <c r="O12" s="103">
        <v>24.5</v>
      </c>
      <c r="P12" s="29">
        <v>23.8</v>
      </c>
      <c r="Q12" s="29">
        <v>25</v>
      </c>
      <c r="R12" s="29">
        <v>26</v>
      </c>
      <c r="S12" s="29">
        <v>27</v>
      </c>
      <c r="T12" s="103">
        <v>24.8</v>
      </c>
      <c r="U12" s="29">
        <v>29</v>
      </c>
      <c r="V12" s="29">
        <v>30</v>
      </c>
      <c r="W12" s="29">
        <v>28</v>
      </c>
      <c r="X12" s="29">
        <v>28</v>
      </c>
      <c r="Y12" s="29">
        <v>27</v>
      </c>
      <c r="Z12" s="106">
        <v>28</v>
      </c>
      <c r="AA12" s="40">
        <v>27</v>
      </c>
      <c r="AB12" s="40">
        <v>29</v>
      </c>
      <c r="AC12" s="40">
        <v>31</v>
      </c>
      <c r="AD12" s="40">
        <v>31</v>
      </c>
      <c r="AE12" s="103">
        <f>29.1+1.8</f>
        <v>30.900000000000002</v>
      </c>
      <c r="AF12" s="40">
        <v>31</v>
      </c>
      <c r="AG12" s="40">
        <v>32</v>
      </c>
      <c r="AH12" s="40">
        <v>35</v>
      </c>
      <c r="AI12" s="40">
        <v>34</v>
      </c>
      <c r="AJ12" s="103">
        <f>33.9+2</f>
        <v>35.9</v>
      </c>
      <c r="AK12" s="40">
        <v>34</v>
      </c>
      <c r="AL12" s="40">
        <v>33</v>
      </c>
      <c r="AM12" s="40">
        <v>36</v>
      </c>
      <c r="AN12" s="40">
        <v>37</v>
      </c>
      <c r="AO12" s="40">
        <v>39</v>
      </c>
      <c r="AP12" s="103">
        <f>35.6+1.9</f>
        <v>37.5</v>
      </c>
      <c r="AQ12" s="40">
        <f>37+1</f>
        <v>38</v>
      </c>
      <c r="AR12" s="40">
        <f>36+1</f>
        <v>37</v>
      </c>
      <c r="AS12" s="40">
        <f>36+1</f>
        <v>37</v>
      </c>
      <c r="AT12" s="40">
        <v>37</v>
      </c>
      <c r="AU12" s="103">
        <f>36.2+0.8</f>
        <v>37</v>
      </c>
      <c r="AV12" s="40">
        <v>35</v>
      </c>
      <c r="AW12" s="40">
        <v>32</v>
      </c>
      <c r="AX12" s="40">
        <v>32</v>
      </c>
      <c r="AY12" s="40">
        <v>31</v>
      </c>
      <c r="AZ12" s="103">
        <v>30.9</v>
      </c>
      <c r="BA12" s="40">
        <v>27</v>
      </c>
      <c r="BB12" s="40">
        <v>26</v>
      </c>
      <c r="BC12" s="40">
        <v>26</v>
      </c>
      <c r="BD12" s="40">
        <v>26</v>
      </c>
      <c r="BE12" s="40">
        <v>25</v>
      </c>
      <c r="BF12" s="103">
        <v>24.9</v>
      </c>
      <c r="BG12" s="40">
        <v>25</v>
      </c>
      <c r="BH12" s="40">
        <v>24</v>
      </c>
      <c r="BI12" s="40">
        <v>24</v>
      </c>
      <c r="BJ12" s="40">
        <v>25</v>
      </c>
      <c r="BK12" s="103">
        <v>23.6</v>
      </c>
      <c r="BL12" s="40">
        <v>26</v>
      </c>
      <c r="BM12" s="40">
        <v>26</v>
      </c>
      <c r="BN12" s="40">
        <v>25</v>
      </c>
      <c r="BO12" s="40">
        <v>24</v>
      </c>
      <c r="BP12" s="40">
        <v>25</v>
      </c>
      <c r="BQ12" s="103">
        <v>23.9</v>
      </c>
      <c r="BR12" s="40">
        <v>25</v>
      </c>
      <c r="BS12" s="40">
        <v>25</v>
      </c>
      <c r="BT12" s="40">
        <v>24</v>
      </c>
      <c r="BU12" s="40">
        <v>25</v>
      </c>
      <c r="BV12" s="103">
        <v>24.4</v>
      </c>
      <c r="BW12" s="40">
        <v>22</v>
      </c>
      <c r="BX12" s="40">
        <v>20</v>
      </c>
      <c r="BY12" s="40">
        <v>18</v>
      </c>
      <c r="BZ12" s="40">
        <v>18</v>
      </c>
      <c r="CA12" s="103">
        <v>19.600000000000001</v>
      </c>
      <c r="CB12" s="40">
        <v>17</v>
      </c>
      <c r="CC12" s="40">
        <v>18</v>
      </c>
      <c r="CD12" s="40">
        <v>18</v>
      </c>
      <c r="CE12" s="40">
        <v>19</v>
      </c>
      <c r="CF12" s="103">
        <v>18.100000000000001</v>
      </c>
      <c r="CG12" s="40">
        <v>19</v>
      </c>
      <c r="CH12" s="40">
        <v>20</v>
      </c>
      <c r="CI12" s="40">
        <v>18</v>
      </c>
      <c r="CJ12" s="40">
        <v>18</v>
      </c>
      <c r="CK12" s="40">
        <v>21</v>
      </c>
      <c r="CL12" s="103">
        <v>19</v>
      </c>
    </row>
    <row r="13" spans="1:99">
      <c r="B13" t="s">
        <v>75</v>
      </c>
      <c r="C13" s="30">
        <v>93</v>
      </c>
      <c r="D13" t="s">
        <v>79</v>
      </c>
      <c r="E13" s="83">
        <v>60.32</v>
      </c>
      <c r="F13" s="45">
        <v>64.13</v>
      </c>
      <c r="G13" s="45">
        <v>72.61</v>
      </c>
      <c r="H13" s="45">
        <v>68.400000000000006</v>
      </c>
      <c r="I13" s="45">
        <v>73.099999999999994</v>
      </c>
      <c r="J13" s="70">
        <v>73</v>
      </c>
      <c r="K13" s="45">
        <v>75</v>
      </c>
      <c r="L13" s="45">
        <v>74</v>
      </c>
      <c r="M13" s="45">
        <v>74</v>
      </c>
      <c r="N13" s="45">
        <v>74</v>
      </c>
      <c r="O13" s="103">
        <v>71.099999999999994</v>
      </c>
      <c r="P13" s="29">
        <v>81</v>
      </c>
      <c r="Q13" s="29">
        <v>86</v>
      </c>
      <c r="R13" s="29">
        <v>84</v>
      </c>
      <c r="S13" s="29">
        <v>83</v>
      </c>
      <c r="T13" s="103">
        <v>83</v>
      </c>
      <c r="U13" s="29">
        <v>82</v>
      </c>
      <c r="V13" s="29">
        <v>85</v>
      </c>
      <c r="W13" s="29">
        <v>88</v>
      </c>
      <c r="X13" s="29">
        <v>89</v>
      </c>
      <c r="Y13" s="29">
        <v>92</v>
      </c>
      <c r="Z13" s="103">
        <v>86.3</v>
      </c>
      <c r="AA13" s="40">
        <v>89</v>
      </c>
      <c r="AB13" s="40">
        <v>90</v>
      </c>
      <c r="AC13" s="40">
        <v>93</v>
      </c>
      <c r="AD13" s="40">
        <v>98</v>
      </c>
      <c r="AE13" s="103">
        <v>92.6</v>
      </c>
      <c r="AF13" s="40">
        <v>100</v>
      </c>
      <c r="AG13" s="40">
        <v>100</v>
      </c>
      <c r="AH13" s="40">
        <v>98</v>
      </c>
      <c r="AI13" s="40">
        <v>97</v>
      </c>
      <c r="AJ13" s="103">
        <v>98.3</v>
      </c>
      <c r="AK13" s="40">
        <v>95</v>
      </c>
      <c r="AL13" s="40">
        <v>96</v>
      </c>
      <c r="AM13" s="40">
        <v>98</v>
      </c>
      <c r="AN13" s="40">
        <v>98</v>
      </c>
      <c r="AO13" s="40">
        <v>103</v>
      </c>
      <c r="AP13" s="103">
        <v>97.2</v>
      </c>
      <c r="AQ13" s="40">
        <v>101</v>
      </c>
      <c r="AR13" s="40">
        <v>99</v>
      </c>
      <c r="AS13" s="40">
        <v>97</v>
      </c>
      <c r="AT13" s="40">
        <v>96</v>
      </c>
      <c r="AU13" s="103">
        <f>24.7+73.9</f>
        <v>98.600000000000009</v>
      </c>
      <c r="AV13" s="40">
        <v>91</v>
      </c>
      <c r="AW13" s="40">
        <v>91</v>
      </c>
      <c r="AX13" s="40">
        <v>91</v>
      </c>
      <c r="AY13" s="40">
        <v>89</v>
      </c>
      <c r="AZ13" s="103">
        <v>89.7</v>
      </c>
      <c r="BA13" s="40">
        <v>86</v>
      </c>
      <c r="BB13" s="40">
        <v>90</v>
      </c>
      <c r="BC13" s="40">
        <v>92</v>
      </c>
      <c r="BD13" s="40">
        <v>93</v>
      </c>
      <c r="BE13" s="40">
        <v>95</v>
      </c>
      <c r="BF13" s="103">
        <v>91</v>
      </c>
      <c r="BG13" s="40">
        <v>94</v>
      </c>
      <c r="BH13" s="40">
        <v>92</v>
      </c>
      <c r="BI13" s="40">
        <v>90</v>
      </c>
      <c r="BJ13" s="40">
        <v>91</v>
      </c>
      <c r="BK13" s="103">
        <f>55.3+36.6</f>
        <v>91.9</v>
      </c>
      <c r="BL13" s="40">
        <v>91</v>
      </c>
      <c r="BM13" s="40">
        <v>90</v>
      </c>
      <c r="BN13" s="40">
        <v>96</v>
      </c>
      <c r="BO13" s="40">
        <v>96</v>
      </c>
      <c r="BP13" s="40">
        <v>98</v>
      </c>
      <c r="BQ13" s="103">
        <v>94</v>
      </c>
      <c r="BR13" s="40">
        <v>96</v>
      </c>
      <c r="BS13" s="40">
        <v>95</v>
      </c>
      <c r="BT13" s="40">
        <v>98</v>
      </c>
      <c r="BU13" s="40">
        <v>99</v>
      </c>
      <c r="BV13" s="103">
        <v>97</v>
      </c>
      <c r="BW13" s="40">
        <v>100</v>
      </c>
      <c r="BX13" s="40">
        <v>99</v>
      </c>
      <c r="BY13" s="40">
        <v>98</v>
      </c>
      <c r="BZ13" s="40">
        <v>97</v>
      </c>
      <c r="CA13" s="103">
        <v>98.5</v>
      </c>
      <c r="CB13" s="40">
        <v>97</v>
      </c>
      <c r="CC13" s="40">
        <v>92</v>
      </c>
      <c r="CD13" s="40">
        <v>91</v>
      </c>
      <c r="CE13" s="40">
        <v>91</v>
      </c>
      <c r="CF13" s="103">
        <v>92.6</v>
      </c>
      <c r="CG13" s="40">
        <v>92</v>
      </c>
      <c r="CH13" s="40">
        <v>86</v>
      </c>
      <c r="CI13" s="40">
        <v>86</v>
      </c>
      <c r="CJ13" s="40">
        <v>83</v>
      </c>
      <c r="CK13" s="40">
        <v>82</v>
      </c>
      <c r="CL13" s="103">
        <v>85.4</v>
      </c>
    </row>
    <row r="14" spans="1:99">
      <c r="E14" s="83"/>
      <c r="F14" s="45"/>
      <c r="G14" s="45"/>
      <c r="H14" s="45"/>
      <c r="I14" s="45"/>
      <c r="J14" s="70"/>
      <c r="K14" s="45"/>
      <c r="L14" s="45"/>
      <c r="M14" s="45"/>
      <c r="N14" s="45"/>
      <c r="O14" s="103"/>
      <c r="P14" s="29"/>
      <c r="Q14" s="29"/>
      <c r="R14" s="29"/>
      <c r="S14" s="29"/>
      <c r="T14" s="103"/>
      <c r="U14" s="29"/>
      <c r="V14" s="29"/>
      <c r="W14" s="29"/>
      <c r="X14" s="29"/>
      <c r="Y14" s="29"/>
      <c r="Z14" s="103"/>
      <c r="AC14" s="40"/>
      <c r="AD14" s="40"/>
      <c r="AE14" s="103"/>
      <c r="AF14" s="40"/>
      <c r="AG14" s="40"/>
      <c r="AH14" s="40"/>
      <c r="AI14" s="40"/>
      <c r="AJ14" s="103"/>
      <c r="AK14" s="40"/>
      <c r="AL14" s="40"/>
      <c r="AM14" s="40"/>
      <c r="AN14" s="40"/>
      <c r="AO14" s="40"/>
      <c r="AP14" s="103"/>
      <c r="AQ14" s="40"/>
      <c r="AR14" s="40"/>
      <c r="AS14" s="40"/>
      <c r="AT14" s="40"/>
      <c r="AU14" s="103"/>
      <c r="AV14" s="40"/>
      <c r="AW14" s="40"/>
      <c r="AX14" s="40"/>
      <c r="AY14" s="40"/>
      <c r="AZ14" s="103"/>
      <c r="BA14" s="40"/>
      <c r="BB14" s="40"/>
      <c r="BC14" s="40"/>
      <c r="BD14" s="40"/>
      <c r="BE14" s="40"/>
      <c r="BF14" s="103"/>
      <c r="BG14" s="40"/>
      <c r="BH14" s="40"/>
      <c r="BI14" s="40"/>
      <c r="BJ14" s="40"/>
      <c r="BK14" s="103"/>
      <c r="BL14" s="40"/>
      <c r="BM14" s="40"/>
      <c r="BN14" s="40"/>
      <c r="BO14" s="40"/>
      <c r="BP14" s="40"/>
      <c r="BQ14" s="103"/>
      <c r="BR14" s="40"/>
      <c r="BS14" s="40"/>
      <c r="BT14" s="40"/>
      <c r="BU14" s="40"/>
      <c r="BV14" s="103"/>
      <c r="BW14" s="40"/>
      <c r="BX14" s="40"/>
      <c r="BY14" s="40"/>
      <c r="BZ14" s="40"/>
      <c r="CA14" s="103"/>
      <c r="CB14" s="40"/>
      <c r="CC14" s="40"/>
      <c r="CF14" s="103"/>
      <c r="CL14" s="103"/>
    </row>
    <row r="15" spans="1:99" s="9" customFormat="1">
      <c r="A15" s="282"/>
      <c r="B15" t="s">
        <v>73</v>
      </c>
      <c r="C15" s="34">
        <f>SUM(C10:C13)</f>
        <v>265</v>
      </c>
      <c r="D15" s="9" t="s">
        <v>80</v>
      </c>
      <c r="E15" s="84">
        <f t="shared" ref="E15:N15" si="15">SUM(E10:E13)</f>
        <v>200.95</v>
      </c>
      <c r="F15" s="63">
        <f t="shared" si="15"/>
        <v>208.93</v>
      </c>
      <c r="G15" s="63">
        <f t="shared" si="15"/>
        <v>223.89999999999998</v>
      </c>
      <c r="H15" s="63">
        <f t="shared" si="15"/>
        <v>210.03</v>
      </c>
      <c r="I15" s="63">
        <f t="shared" si="15"/>
        <v>219.6</v>
      </c>
      <c r="J15" s="71">
        <f t="shared" si="15"/>
        <v>216</v>
      </c>
      <c r="K15" s="63">
        <f t="shared" si="15"/>
        <v>213.5</v>
      </c>
      <c r="L15" s="63">
        <f t="shared" si="15"/>
        <v>215</v>
      </c>
      <c r="M15" s="63">
        <f t="shared" si="15"/>
        <v>217</v>
      </c>
      <c r="N15" s="63">
        <f t="shared" si="15"/>
        <v>218.6</v>
      </c>
      <c r="O15" s="104">
        <f>_xlfn.SINGLE(SUM(O10:O13))</f>
        <v>211.29999999999998</v>
      </c>
      <c r="P15" s="142">
        <f t="shared" ref="P15:Z15" si="16">SUM(P10:P13)</f>
        <v>223</v>
      </c>
      <c r="Q15" s="142">
        <f t="shared" si="16"/>
        <v>231</v>
      </c>
      <c r="R15" s="142">
        <f t="shared" si="16"/>
        <v>232</v>
      </c>
      <c r="S15" s="142">
        <f t="shared" si="16"/>
        <v>231</v>
      </c>
      <c r="T15" s="104">
        <f t="shared" si="16"/>
        <v>228.20000000000002</v>
      </c>
      <c r="U15" s="142">
        <f t="shared" si="16"/>
        <v>232</v>
      </c>
      <c r="V15" s="142">
        <f t="shared" si="16"/>
        <v>236</v>
      </c>
      <c r="W15" s="142">
        <f t="shared" si="16"/>
        <v>239</v>
      </c>
      <c r="X15" s="142">
        <f t="shared" si="16"/>
        <v>242</v>
      </c>
      <c r="Y15" s="142">
        <f t="shared" si="16"/>
        <v>240</v>
      </c>
      <c r="Z15" s="104">
        <f t="shared" si="16"/>
        <v>236.8</v>
      </c>
      <c r="AA15" s="43">
        <f>SUM(AA10:AA13)</f>
        <v>235</v>
      </c>
      <c r="AB15" s="43">
        <f>SUM(AB10:AB13)</f>
        <v>243</v>
      </c>
      <c r="AC15" s="43">
        <f>SUM(AC10:AC13)</f>
        <v>249</v>
      </c>
      <c r="AD15" s="43">
        <f>SUM(AD10:AD13)</f>
        <v>258</v>
      </c>
      <c r="AE15" s="104">
        <f t="shared" ref="AE15" si="17">SUM(AE10:AE13)</f>
        <v>248.2</v>
      </c>
      <c r="AF15" s="43">
        <f>SUM(AF10:AF13)</f>
        <v>259</v>
      </c>
      <c r="AG15" s="43">
        <f>SUM(AG10:AG13)</f>
        <v>264</v>
      </c>
      <c r="AH15" s="43">
        <f>SUM(AH10:AH13)</f>
        <v>268</v>
      </c>
      <c r="AI15" s="43">
        <f>SUM(AI10:AI13)</f>
        <v>267</v>
      </c>
      <c r="AJ15" s="104">
        <f>+AJ13+AJ12+AJ11+AJ10</f>
        <v>270.09999999999997</v>
      </c>
      <c r="AK15" s="43">
        <f>SUM(AK10:AK13)</f>
        <v>265</v>
      </c>
      <c r="AL15" s="43">
        <f>SUM(AL10:AL13)</f>
        <v>262</v>
      </c>
      <c r="AM15" s="43">
        <f>SUM(AM10:AM13)</f>
        <v>269</v>
      </c>
      <c r="AN15" s="43">
        <f>SUM(AN10:AN13)</f>
        <v>274</v>
      </c>
      <c r="AO15" s="43">
        <f>SUM(AO10:AO13)</f>
        <v>282</v>
      </c>
      <c r="AP15" s="104">
        <f>+AP13+AP12+AP11+AP10</f>
        <v>274.39999999999998</v>
      </c>
      <c r="AQ15" s="43">
        <f>SUM(AQ10:AQ13)</f>
        <v>283</v>
      </c>
      <c r="AR15" s="43">
        <f t="shared" ref="AR15:AT15" si="18">SUM(AR10:AR13)</f>
        <v>281</v>
      </c>
      <c r="AS15" s="43">
        <f t="shared" si="18"/>
        <v>284</v>
      </c>
      <c r="AT15" s="43">
        <f t="shared" si="18"/>
        <v>286</v>
      </c>
      <c r="AU15" s="104">
        <f>+AU13+AU12+AU11+AU10</f>
        <v>282.90000000000003</v>
      </c>
      <c r="AV15" s="43">
        <f>SUM(AV10:AV13)</f>
        <v>280</v>
      </c>
      <c r="AW15" s="43">
        <f>SUM(AW10:AW13)</f>
        <v>280</v>
      </c>
      <c r="AX15" s="43">
        <f>SUM(AX10:AX13)</f>
        <v>283</v>
      </c>
      <c r="AY15" s="43">
        <f>SUM(AY10:AY13)</f>
        <v>278</v>
      </c>
      <c r="AZ15" s="104">
        <f>+AZ13+AZ12+AZ11+AZ10</f>
        <v>275.79999999999995</v>
      </c>
      <c r="BA15" s="43">
        <f>SUM(BA10:BA13)</f>
        <v>267</v>
      </c>
      <c r="BB15" s="43">
        <f>SUM(BB10:BB13)</f>
        <v>270</v>
      </c>
      <c r="BC15" s="43">
        <f>SUM(BC10:BC13)</f>
        <v>277</v>
      </c>
      <c r="BD15" s="43">
        <f>SUM(BD10:BD13)</f>
        <v>274</v>
      </c>
      <c r="BE15" s="43">
        <f>SUM(BE10:BE13)</f>
        <v>278</v>
      </c>
      <c r="BF15" s="104">
        <f>+BF13+BF12+BF11+BF10</f>
        <v>270.60000000000002</v>
      </c>
      <c r="BG15" s="43">
        <f>SUM(BG10:BG13)</f>
        <v>275</v>
      </c>
      <c r="BH15" s="43">
        <f>SUM(BH10:BH13)</f>
        <v>272</v>
      </c>
      <c r="BI15" s="43">
        <f>SUM(BI10:BI13)</f>
        <v>269</v>
      </c>
      <c r="BJ15" s="43">
        <f>SUM(BJ10:BJ13)</f>
        <v>269</v>
      </c>
      <c r="BK15" s="104">
        <f>+BK13+BK12+BK11+BK10</f>
        <v>269</v>
      </c>
      <c r="BL15" s="43">
        <f>SUM(BL10:BL13)</f>
        <v>269</v>
      </c>
      <c r="BM15" s="43">
        <f>SUM(BM10:BM13)</f>
        <v>273</v>
      </c>
      <c r="BN15" s="43">
        <f>SUM(BN10:BN13)</f>
        <v>282</v>
      </c>
      <c r="BO15" s="43">
        <f>SUM(BO10:BO13)</f>
        <v>281</v>
      </c>
      <c r="BP15" s="43">
        <f>SUM(BP10:BP13)</f>
        <v>285</v>
      </c>
      <c r="BQ15" s="104">
        <f>+BQ13+BQ12+BQ11+BQ10</f>
        <v>275.8</v>
      </c>
      <c r="BR15" s="43">
        <f>SUM(BR10:BR13)</f>
        <v>280</v>
      </c>
      <c r="BS15" s="43">
        <f>SUM(BS10:BS13)</f>
        <v>277</v>
      </c>
      <c r="BT15" s="43">
        <f>SUM(BT10:BT13)</f>
        <v>278</v>
      </c>
      <c r="BU15" s="43">
        <f>SUM(BU10:BU13)</f>
        <v>277</v>
      </c>
      <c r="BV15" s="104">
        <f t="shared" ref="BV15" si="19">SUM(BV10:BV13)</f>
        <v>276.8</v>
      </c>
      <c r="BW15" s="43">
        <f>SUM(BW10:BW13)</f>
        <v>277</v>
      </c>
      <c r="BX15" s="43">
        <f>SUM(BX10:BX13)</f>
        <v>282</v>
      </c>
      <c r="BY15" s="43">
        <f>SUM(BY10:BY13)</f>
        <v>280</v>
      </c>
      <c r="BZ15" s="43">
        <f>SUM(BZ10:BZ13)</f>
        <v>281</v>
      </c>
      <c r="CA15" s="104">
        <f t="shared" ref="CA15" si="20">SUM(CA10:CA13)</f>
        <v>279.29999999999995</v>
      </c>
      <c r="CB15" s="43">
        <f>SUM(CB10:CB13)</f>
        <v>286</v>
      </c>
      <c r="CC15" s="43">
        <f>SUM(CC10:CC13)</f>
        <v>282</v>
      </c>
      <c r="CD15" s="43">
        <f>SUM(CD10:CD13)</f>
        <v>279</v>
      </c>
      <c r="CE15" s="43">
        <f>SUM(CE10:CE13)</f>
        <v>280</v>
      </c>
      <c r="CF15" s="104">
        <f t="shared" ref="CF15" si="21">SUM(CF10:CF13)</f>
        <v>280.89999999999998</v>
      </c>
      <c r="CG15" s="43">
        <f>SUM(CG10:CG13)</f>
        <v>282</v>
      </c>
      <c r="CH15" s="43">
        <f>SUM(CH10:CH13)</f>
        <v>277</v>
      </c>
      <c r="CI15" s="43">
        <f>SUM(CI10:CI13)</f>
        <v>276</v>
      </c>
      <c r="CJ15" s="43">
        <f>SUM(CJ10:CJ13)</f>
        <v>271</v>
      </c>
      <c r="CK15" s="43">
        <f>SUM(CK10:CK13)</f>
        <v>275</v>
      </c>
      <c r="CL15" s="104">
        <f t="shared" ref="CL15" si="22">SUM(CL10:CL13)</f>
        <v>275.39999999999998</v>
      </c>
    </row>
    <row r="16" spans="1:99" s="11" customFormat="1">
      <c r="A16" s="281" t="s">
        <v>81</v>
      </c>
      <c r="B16" s="10"/>
      <c r="C16" s="33" t="s">
        <v>82</v>
      </c>
      <c r="E16" s="81"/>
      <c r="F16" s="41"/>
      <c r="G16" s="41"/>
      <c r="H16" s="41"/>
      <c r="I16" s="41"/>
      <c r="J16" s="68"/>
      <c r="K16" s="41"/>
      <c r="L16" s="41"/>
      <c r="M16" s="41"/>
      <c r="N16" s="41"/>
      <c r="O16" s="101"/>
      <c r="T16" s="101"/>
      <c r="Z16" s="110"/>
      <c r="AA16" s="41"/>
      <c r="AB16" s="41"/>
      <c r="AE16" s="101"/>
      <c r="AJ16" s="101"/>
      <c r="AP16" s="101"/>
      <c r="AU16" s="101"/>
      <c r="AZ16" s="101"/>
      <c r="BF16" s="101"/>
      <c r="BK16" s="101"/>
      <c r="BQ16" s="101"/>
      <c r="BV16" s="101"/>
      <c r="CA16" s="101"/>
      <c r="CD16" s="41"/>
      <c r="CE16" s="41"/>
      <c r="CF16" s="101"/>
      <c r="CG16" s="41"/>
      <c r="CH16" s="41"/>
      <c r="CI16" s="41"/>
      <c r="CJ16" s="41"/>
      <c r="CK16" s="41"/>
      <c r="CL16" s="101"/>
    </row>
    <row r="17" spans="1:98">
      <c r="A17" s="282"/>
      <c r="B17" t="s">
        <v>83</v>
      </c>
      <c r="C17" s="63">
        <f>C9/2.5</f>
        <v>130</v>
      </c>
      <c r="D17" t="s">
        <v>84</v>
      </c>
      <c r="E17" s="45">
        <f t="shared" ref="E17:Y17" si="23">E9/2.5</f>
        <v>107.2</v>
      </c>
      <c r="F17" s="45">
        <f t="shared" si="23"/>
        <v>112.8</v>
      </c>
      <c r="G17" s="45">
        <f t="shared" si="23"/>
        <v>111.2</v>
      </c>
      <c r="H17" s="45">
        <f t="shared" si="23"/>
        <v>115.6</v>
      </c>
      <c r="I17" s="45">
        <f t="shared" si="23"/>
        <v>111.6</v>
      </c>
      <c r="J17" s="70">
        <f t="shared" si="23"/>
        <v>108</v>
      </c>
      <c r="K17" s="45">
        <f t="shared" si="23"/>
        <v>106.4</v>
      </c>
      <c r="L17" s="45">
        <f t="shared" si="23"/>
        <v>105.6</v>
      </c>
      <c r="M17" s="45">
        <f t="shared" si="23"/>
        <v>104.8</v>
      </c>
      <c r="N17" s="70">
        <f t="shared" si="23"/>
        <v>106</v>
      </c>
      <c r="O17" s="70">
        <f t="shared" si="23"/>
        <v>104.4</v>
      </c>
      <c r="P17" s="29">
        <f t="shared" si="23"/>
        <v>104.8</v>
      </c>
      <c r="Q17" s="29">
        <f t="shared" si="23"/>
        <v>107.2</v>
      </c>
      <c r="R17" s="29">
        <f t="shared" si="23"/>
        <v>109.6</v>
      </c>
      <c r="S17" s="29">
        <f t="shared" si="23"/>
        <v>110.8</v>
      </c>
      <c r="T17" s="103">
        <f t="shared" si="23"/>
        <v>107.2</v>
      </c>
      <c r="U17" s="29">
        <f t="shared" si="23"/>
        <v>111.2</v>
      </c>
      <c r="V17" s="29">
        <f t="shared" si="23"/>
        <v>111.2</v>
      </c>
      <c r="W17" s="29">
        <f t="shared" si="23"/>
        <v>113.2</v>
      </c>
      <c r="X17" s="29">
        <f t="shared" si="23"/>
        <v>114.8</v>
      </c>
      <c r="Y17" s="29">
        <f t="shared" si="23"/>
        <v>119.2</v>
      </c>
      <c r="Z17" s="103">
        <f t="shared" ref="Z17:AM17" si="24">Z9/2.5</f>
        <v>111.6</v>
      </c>
      <c r="AA17" s="45">
        <f t="shared" si="24"/>
        <v>116.8</v>
      </c>
      <c r="AB17" s="45">
        <f t="shared" si="24"/>
        <v>116.8</v>
      </c>
      <c r="AC17" s="45">
        <f t="shared" si="24"/>
        <v>115.6</v>
      </c>
      <c r="AD17" s="45">
        <f t="shared" si="24"/>
        <v>114.4</v>
      </c>
      <c r="AE17" s="103">
        <f t="shared" si="24"/>
        <v>114</v>
      </c>
      <c r="AF17" s="45">
        <f t="shared" si="24"/>
        <v>110.8</v>
      </c>
      <c r="AG17" s="45">
        <f t="shared" si="24"/>
        <v>106.8</v>
      </c>
      <c r="AH17" s="45">
        <f t="shared" si="24"/>
        <v>105.2</v>
      </c>
      <c r="AI17" s="45">
        <f t="shared" si="24"/>
        <v>107.6</v>
      </c>
      <c r="AJ17" s="103">
        <f t="shared" si="24"/>
        <v>104.8</v>
      </c>
      <c r="AK17" s="40">
        <f t="shared" si="24"/>
        <v>111.6</v>
      </c>
      <c r="AL17" s="40">
        <f t="shared" si="24"/>
        <v>111.6</v>
      </c>
      <c r="AM17" s="40">
        <f t="shared" si="24"/>
        <v>114</v>
      </c>
      <c r="AN17" s="40">
        <f t="shared" ref="AN17:AO17" si="25">AN9/2.5</f>
        <v>114.8</v>
      </c>
      <c r="AO17" s="40">
        <f t="shared" si="25"/>
        <v>115.2</v>
      </c>
      <c r="AP17" s="103">
        <f>AP9/2.5</f>
        <v>108.4</v>
      </c>
      <c r="AQ17" s="40">
        <f t="shared" ref="AQ17:AR17" si="26">AQ9/2.5</f>
        <v>116.4</v>
      </c>
      <c r="AR17" s="40">
        <f t="shared" si="26"/>
        <v>115.2</v>
      </c>
      <c r="AS17" s="40">
        <f t="shared" ref="AS17:AT17" si="27">AS9/2.5</f>
        <v>112.8</v>
      </c>
      <c r="AT17" s="40">
        <f t="shared" si="27"/>
        <v>109.6</v>
      </c>
      <c r="AU17" s="103">
        <f>AU9/2.5</f>
        <v>109.6</v>
      </c>
      <c r="AV17" s="40">
        <f t="shared" ref="AV17:AW17" si="28">AV9/2.5</f>
        <v>108</v>
      </c>
      <c r="AW17" s="40">
        <f t="shared" si="28"/>
        <v>108</v>
      </c>
      <c r="AX17" s="40">
        <f t="shared" ref="AX17:AY17" si="29">AX9/2.5</f>
        <v>108.4</v>
      </c>
      <c r="AY17" s="40">
        <f t="shared" si="29"/>
        <v>106</v>
      </c>
      <c r="AZ17" s="103">
        <f>AZ9/2.5</f>
        <v>105.6</v>
      </c>
      <c r="BA17" s="40">
        <f t="shared" ref="BA17" si="30">BA9/2.5</f>
        <v>105.2</v>
      </c>
      <c r="BB17" s="40">
        <f t="shared" ref="BB17:BU17" si="31">BB9/2.5</f>
        <v>103.6</v>
      </c>
      <c r="BC17" s="40">
        <f t="shared" si="31"/>
        <v>103.2</v>
      </c>
      <c r="BD17" s="40">
        <f t="shared" si="31"/>
        <v>104.8</v>
      </c>
      <c r="BE17" s="40">
        <f t="shared" si="31"/>
        <v>107.2</v>
      </c>
      <c r="BF17" s="103">
        <f t="shared" si="31"/>
        <v>103.6</v>
      </c>
      <c r="BG17" s="40">
        <f t="shared" si="31"/>
        <v>109.2</v>
      </c>
      <c r="BH17" s="40">
        <f t="shared" si="31"/>
        <v>112.8</v>
      </c>
      <c r="BI17" s="40">
        <f t="shared" si="31"/>
        <v>115.2</v>
      </c>
      <c r="BJ17" s="40">
        <f t="shared" si="31"/>
        <v>114.8</v>
      </c>
      <c r="BK17" s="103">
        <f t="shared" si="31"/>
        <v>112.8</v>
      </c>
      <c r="BL17" s="40">
        <f t="shared" si="31"/>
        <v>115.2</v>
      </c>
      <c r="BM17" s="40">
        <f t="shared" si="31"/>
        <v>111.6</v>
      </c>
      <c r="BN17" s="40">
        <f t="shared" si="31"/>
        <v>108</v>
      </c>
      <c r="BO17" s="40">
        <f t="shared" si="31"/>
        <v>104.4</v>
      </c>
      <c r="BP17" s="40">
        <f t="shared" si="31"/>
        <v>99.2</v>
      </c>
      <c r="BQ17" s="103">
        <f t="shared" si="31"/>
        <v>107.2</v>
      </c>
      <c r="BR17" s="40">
        <f t="shared" si="31"/>
        <v>94.8</v>
      </c>
      <c r="BS17" s="40">
        <f t="shared" si="31"/>
        <v>93.2</v>
      </c>
      <c r="BT17" s="40">
        <f t="shared" si="31"/>
        <v>92.8</v>
      </c>
      <c r="BU17" s="40">
        <f t="shared" si="31"/>
        <v>94.8</v>
      </c>
      <c r="BV17" s="103">
        <f t="shared" ref="BV17" si="32">BV9/2.5</f>
        <v>93.2</v>
      </c>
      <c r="BW17" s="40">
        <f>BW9/2.5</f>
        <v>98.4</v>
      </c>
      <c r="BX17" s="40">
        <f>BX9/2.5</f>
        <v>100</v>
      </c>
      <c r="BY17" s="40">
        <f>BY9/2.5</f>
        <v>101.6</v>
      </c>
      <c r="BZ17" s="40">
        <f>BZ9/2.5</f>
        <v>102.8</v>
      </c>
      <c r="CA17" s="103">
        <f t="shared" ref="CA17" si="33">CA9/2.5</f>
        <v>99.2</v>
      </c>
      <c r="CB17" s="40">
        <f>CB9/2.5</f>
        <v>102</v>
      </c>
      <c r="CC17" s="40">
        <f>CC9/2.5</f>
        <v>102.8</v>
      </c>
      <c r="CD17" s="40">
        <f>CD9/2.5</f>
        <v>102.4</v>
      </c>
      <c r="CE17" s="40">
        <f>CE9/2.5</f>
        <v>99.2</v>
      </c>
      <c r="CF17" s="103">
        <f t="shared" ref="CF17" si="34">CF9/2.5</f>
        <v>100.8</v>
      </c>
      <c r="CG17" s="40">
        <f>CG9/2.5</f>
        <v>98</v>
      </c>
      <c r="CH17" s="45">
        <f>CH9/2.5</f>
        <v>96.4</v>
      </c>
      <c r="CI17" s="45">
        <f>CI9/2.5</f>
        <v>95.2</v>
      </c>
      <c r="CJ17" s="45">
        <f>CJ9/2.5</f>
        <v>95.2</v>
      </c>
      <c r="CK17" s="45">
        <f>CK9/2.5</f>
        <v>100</v>
      </c>
      <c r="CL17" s="103">
        <f t="shared" ref="CL17" si="35">CL9/2.5</f>
        <v>96</v>
      </c>
    </row>
    <row r="18" spans="1:98">
      <c r="A18" s="282"/>
      <c r="B18" t="s">
        <v>83</v>
      </c>
      <c r="C18" s="63">
        <f>C17+C15</f>
        <v>395</v>
      </c>
      <c r="D18" t="s">
        <v>85</v>
      </c>
      <c r="E18" s="45">
        <f t="shared" ref="E18:J18" si="36">E17+E15</f>
        <v>308.14999999999998</v>
      </c>
      <c r="F18" s="45">
        <f t="shared" si="36"/>
        <v>321.73</v>
      </c>
      <c r="G18" s="45">
        <f t="shared" si="36"/>
        <v>335.09999999999997</v>
      </c>
      <c r="H18" s="45">
        <f t="shared" si="36"/>
        <v>325.63</v>
      </c>
      <c r="I18" s="45">
        <f t="shared" si="36"/>
        <v>331.2</v>
      </c>
      <c r="J18" s="70">
        <f t="shared" si="36"/>
        <v>324</v>
      </c>
      <c r="K18" s="45">
        <f t="shared" ref="K18:AA18" si="37">K17+K15</f>
        <v>319.89999999999998</v>
      </c>
      <c r="L18" s="45">
        <f>L17+L15</f>
        <v>320.60000000000002</v>
      </c>
      <c r="M18" s="45">
        <f t="shared" si="37"/>
        <v>321.8</v>
      </c>
      <c r="N18" s="70">
        <f t="shared" si="37"/>
        <v>324.60000000000002</v>
      </c>
      <c r="O18" s="70">
        <f t="shared" ref="O18" si="38">O17+O15</f>
        <v>315.7</v>
      </c>
      <c r="P18" s="29">
        <f t="shared" si="37"/>
        <v>327.8</v>
      </c>
      <c r="Q18" s="29">
        <f t="shared" si="37"/>
        <v>338.2</v>
      </c>
      <c r="R18" s="29">
        <f t="shared" si="37"/>
        <v>341.6</v>
      </c>
      <c r="S18" s="29">
        <f t="shared" si="37"/>
        <v>341.8</v>
      </c>
      <c r="T18" s="103">
        <f>T17+T15</f>
        <v>335.40000000000003</v>
      </c>
      <c r="U18" s="29">
        <f t="shared" si="37"/>
        <v>343.2</v>
      </c>
      <c r="V18" s="29">
        <f t="shared" si="37"/>
        <v>347.2</v>
      </c>
      <c r="W18" s="29">
        <f t="shared" si="37"/>
        <v>352.2</v>
      </c>
      <c r="X18" s="29">
        <f t="shared" si="37"/>
        <v>356.8</v>
      </c>
      <c r="Y18" s="29">
        <f t="shared" si="37"/>
        <v>359.2</v>
      </c>
      <c r="Z18" s="103">
        <f>Z17+Z15</f>
        <v>348.4</v>
      </c>
      <c r="AA18" s="45">
        <f t="shared" si="37"/>
        <v>351.8</v>
      </c>
      <c r="AB18" s="45">
        <f t="shared" ref="AB18" si="39">AB17+AB15</f>
        <v>359.8</v>
      </c>
      <c r="AC18" s="45">
        <f t="shared" ref="AC18:AD18" si="40">AC17+AC15</f>
        <v>364.6</v>
      </c>
      <c r="AD18" s="45">
        <f t="shared" si="40"/>
        <v>372.4</v>
      </c>
      <c r="AE18" s="103">
        <f>AE17+AE15</f>
        <v>362.2</v>
      </c>
      <c r="AF18" s="45">
        <f t="shared" ref="AF18:AH18" si="41">AF17+AF15</f>
        <v>369.8</v>
      </c>
      <c r="AG18" s="45">
        <f t="shared" si="41"/>
        <v>370.8</v>
      </c>
      <c r="AH18" s="45">
        <f t="shared" si="41"/>
        <v>373.2</v>
      </c>
      <c r="AI18" s="45">
        <f t="shared" ref="AI18" si="42">AI17+AI15</f>
        <v>374.6</v>
      </c>
      <c r="AJ18" s="103">
        <f t="shared" ref="AJ18:BU18" si="43">AJ17+AJ15</f>
        <v>374.9</v>
      </c>
      <c r="AK18" s="40">
        <f t="shared" si="43"/>
        <v>376.6</v>
      </c>
      <c r="AL18" s="40">
        <f t="shared" si="43"/>
        <v>373.6</v>
      </c>
      <c r="AM18" s="40">
        <f t="shared" si="43"/>
        <v>383</v>
      </c>
      <c r="AN18" s="40">
        <f t="shared" si="43"/>
        <v>388.8</v>
      </c>
      <c r="AO18" s="40">
        <f t="shared" si="43"/>
        <v>397.2</v>
      </c>
      <c r="AP18" s="103">
        <f t="shared" si="43"/>
        <v>382.79999999999995</v>
      </c>
      <c r="AQ18" s="40">
        <f t="shared" si="43"/>
        <v>399.4</v>
      </c>
      <c r="AR18" s="40">
        <f t="shared" si="43"/>
        <v>396.2</v>
      </c>
      <c r="AS18" s="40">
        <f t="shared" si="43"/>
        <v>396.8</v>
      </c>
      <c r="AT18" s="40">
        <f t="shared" si="43"/>
        <v>395.6</v>
      </c>
      <c r="AU18" s="103">
        <f t="shared" si="43"/>
        <v>392.5</v>
      </c>
      <c r="AV18" s="40">
        <f t="shared" si="43"/>
        <v>388</v>
      </c>
      <c r="AW18" s="40">
        <f t="shared" si="43"/>
        <v>388</v>
      </c>
      <c r="AX18" s="40">
        <f t="shared" si="43"/>
        <v>391.4</v>
      </c>
      <c r="AY18" s="40">
        <f t="shared" si="43"/>
        <v>384</v>
      </c>
      <c r="AZ18" s="103">
        <f t="shared" si="43"/>
        <v>381.4</v>
      </c>
      <c r="BA18" s="40">
        <f t="shared" si="43"/>
        <v>372.2</v>
      </c>
      <c r="BB18" s="40">
        <f t="shared" si="43"/>
        <v>373.6</v>
      </c>
      <c r="BC18" s="40">
        <f t="shared" si="43"/>
        <v>380.2</v>
      </c>
      <c r="BD18" s="40">
        <f t="shared" si="43"/>
        <v>378.8</v>
      </c>
      <c r="BE18" s="40">
        <f t="shared" si="43"/>
        <v>385.2</v>
      </c>
      <c r="BF18" s="103">
        <f t="shared" si="43"/>
        <v>374.20000000000005</v>
      </c>
      <c r="BG18" s="40">
        <f t="shared" si="43"/>
        <v>384.2</v>
      </c>
      <c r="BH18" s="40">
        <f t="shared" si="43"/>
        <v>384.8</v>
      </c>
      <c r="BI18" s="40">
        <f t="shared" si="43"/>
        <v>384.2</v>
      </c>
      <c r="BJ18" s="40">
        <f t="shared" si="43"/>
        <v>383.8</v>
      </c>
      <c r="BK18" s="103">
        <f t="shared" si="43"/>
        <v>381.8</v>
      </c>
      <c r="BL18" s="40">
        <f t="shared" si="43"/>
        <v>384.2</v>
      </c>
      <c r="BM18" s="40">
        <f t="shared" si="43"/>
        <v>384.6</v>
      </c>
      <c r="BN18" s="40">
        <f t="shared" si="43"/>
        <v>390</v>
      </c>
      <c r="BO18" s="40">
        <f t="shared" si="43"/>
        <v>385.4</v>
      </c>
      <c r="BP18" s="40">
        <f t="shared" si="43"/>
        <v>384.2</v>
      </c>
      <c r="BQ18" s="103">
        <f t="shared" si="43"/>
        <v>383</v>
      </c>
      <c r="BR18" s="40">
        <f t="shared" si="43"/>
        <v>374.8</v>
      </c>
      <c r="BS18" s="40">
        <f t="shared" si="43"/>
        <v>370.2</v>
      </c>
      <c r="BT18" s="40">
        <f t="shared" si="43"/>
        <v>370.8</v>
      </c>
      <c r="BU18" s="40">
        <f t="shared" si="43"/>
        <v>371.8</v>
      </c>
      <c r="BV18" s="103">
        <f t="shared" ref="BV18" si="44">BV17+BV15</f>
        <v>370</v>
      </c>
      <c r="BW18" s="40">
        <f>BW17+BW15</f>
        <v>375.4</v>
      </c>
      <c r="BX18" s="40">
        <f>BX17+BX15</f>
        <v>382</v>
      </c>
      <c r="BY18" s="40">
        <f>BY17+BY15</f>
        <v>381.6</v>
      </c>
      <c r="BZ18" s="40">
        <f>BZ17+BZ15</f>
        <v>383.8</v>
      </c>
      <c r="CA18" s="103">
        <f t="shared" ref="CA18" si="45">CA17+CA15</f>
        <v>378.49999999999994</v>
      </c>
      <c r="CB18" s="40">
        <f>CB17+CB15</f>
        <v>388</v>
      </c>
      <c r="CC18" s="40">
        <f>CC17+CC15</f>
        <v>384.8</v>
      </c>
      <c r="CD18" s="40">
        <f>CD17+CD15</f>
        <v>381.4</v>
      </c>
      <c r="CE18" s="40">
        <f>CE17+CE15</f>
        <v>379.2</v>
      </c>
      <c r="CF18" s="103">
        <f t="shared" ref="CF18" si="46">CF17+CF15</f>
        <v>381.7</v>
      </c>
      <c r="CG18" s="40">
        <f>CG17+CG15</f>
        <v>380</v>
      </c>
      <c r="CH18" s="45">
        <f>CH17+CH15</f>
        <v>373.4</v>
      </c>
      <c r="CI18" s="45">
        <f>CI17+CI15</f>
        <v>371.2</v>
      </c>
      <c r="CJ18" s="45">
        <f>CJ17+CJ15</f>
        <v>366.2</v>
      </c>
      <c r="CK18" s="45">
        <f>CK17+CK15</f>
        <v>375</v>
      </c>
      <c r="CL18" s="103">
        <f t="shared" ref="CL18" si="47">CL17+CL15</f>
        <v>371.4</v>
      </c>
    </row>
    <row r="19" spans="1:98" s="11" customFormat="1">
      <c r="A19" s="281" t="s">
        <v>86</v>
      </c>
      <c r="B19" s="10"/>
      <c r="C19" s="33" t="s">
        <v>82</v>
      </c>
      <c r="D19" s="10" t="s">
        <v>87</v>
      </c>
      <c r="E19" s="81"/>
      <c r="F19" s="41"/>
      <c r="G19" s="41"/>
      <c r="H19" s="41"/>
      <c r="I19" s="41"/>
      <c r="J19" s="68">
        <v>337</v>
      </c>
      <c r="K19" s="41"/>
      <c r="L19" s="41"/>
      <c r="M19" s="41"/>
      <c r="N19" s="41"/>
      <c r="O19" s="101">
        <v>341</v>
      </c>
      <c r="P19" s="41"/>
      <c r="Q19" s="41"/>
      <c r="R19" s="41"/>
      <c r="S19" s="41"/>
      <c r="T19" s="101">
        <v>346</v>
      </c>
      <c r="U19" s="41"/>
      <c r="V19" s="41"/>
      <c r="W19" s="41"/>
      <c r="X19" s="41"/>
      <c r="Y19" s="41"/>
      <c r="Z19" s="101">
        <v>352</v>
      </c>
      <c r="AA19" s="41"/>
      <c r="AB19" s="41"/>
      <c r="AC19" s="41"/>
      <c r="AD19" s="41"/>
      <c r="AE19" s="101">
        <v>356</v>
      </c>
      <c r="AF19" s="41"/>
      <c r="AG19" s="41"/>
      <c r="AH19" s="41"/>
      <c r="AI19" s="41"/>
      <c r="AJ19" s="101">
        <v>363</v>
      </c>
      <c r="AL19" s="41"/>
      <c r="AM19" s="41"/>
      <c r="AN19" s="41"/>
      <c r="AO19" s="41"/>
      <c r="AP19" s="101"/>
      <c r="AQ19" s="41"/>
      <c r="AR19" s="41"/>
      <c r="AS19" s="41"/>
      <c r="AT19" s="41"/>
      <c r="AU19" s="101"/>
      <c r="AV19" s="41"/>
      <c r="AW19" s="41"/>
      <c r="AX19" s="41"/>
      <c r="AY19" s="41"/>
      <c r="AZ19" s="101"/>
      <c r="BA19" s="41"/>
      <c r="BB19" s="41"/>
      <c r="BC19" s="41"/>
      <c r="BD19" s="41"/>
      <c r="BE19" s="41"/>
      <c r="BF19" s="101"/>
      <c r="BG19" s="41"/>
      <c r="BH19" s="41"/>
      <c r="BI19" s="41"/>
      <c r="BJ19" s="41"/>
      <c r="BK19" s="101"/>
      <c r="BL19" s="41"/>
      <c r="BM19" s="41"/>
      <c r="BN19" s="41"/>
      <c r="BO19" s="41"/>
      <c r="BP19" s="41"/>
      <c r="BQ19" s="101"/>
      <c r="BR19" s="41"/>
      <c r="BS19" s="41"/>
      <c r="BT19" s="41"/>
      <c r="BU19" s="41"/>
      <c r="BV19" s="210">
        <v>381</v>
      </c>
      <c r="BW19" s="202"/>
      <c r="BX19" s="202"/>
      <c r="BY19" s="202"/>
      <c r="BZ19" s="202"/>
      <c r="CA19" s="210">
        <v>383</v>
      </c>
      <c r="CB19" s="202"/>
      <c r="CC19" s="202"/>
      <c r="CD19" s="202"/>
      <c r="CE19" s="202"/>
      <c r="CF19" s="210">
        <v>390</v>
      </c>
      <c r="CG19" s="202">
        <v>402</v>
      </c>
      <c r="CH19" s="202">
        <v>402</v>
      </c>
      <c r="CI19" s="202">
        <v>402</v>
      </c>
      <c r="CJ19" s="202">
        <v>402</v>
      </c>
      <c r="CK19" s="202">
        <v>402</v>
      </c>
      <c r="CL19" s="210">
        <v>390</v>
      </c>
      <c r="CM19" s="10">
        <v>416</v>
      </c>
      <c r="CN19" s="10">
        <v>432</v>
      </c>
      <c r="CO19" s="10">
        <v>443</v>
      </c>
      <c r="CP19" s="10">
        <v>446</v>
      </c>
      <c r="CQ19" s="10">
        <v>449</v>
      </c>
      <c r="CR19" s="10">
        <v>455</v>
      </c>
      <c r="CS19" s="10">
        <v>462</v>
      </c>
      <c r="CT19" s="10">
        <v>466</v>
      </c>
    </row>
    <row r="20" spans="1:98">
      <c r="A20" s="282"/>
      <c r="B20" t="s">
        <v>72</v>
      </c>
      <c r="C20" s="30">
        <v>15</v>
      </c>
      <c r="D20" t="s">
        <v>67</v>
      </c>
      <c r="E20" s="83">
        <v>39</v>
      </c>
      <c r="F20" s="45">
        <v>41</v>
      </c>
      <c r="G20" s="45">
        <v>42</v>
      </c>
      <c r="H20" s="45">
        <v>47</v>
      </c>
      <c r="I20" s="45">
        <v>42</v>
      </c>
      <c r="J20" s="70">
        <v>47</v>
      </c>
      <c r="K20" s="45">
        <v>9</v>
      </c>
      <c r="L20" s="45">
        <v>9</v>
      </c>
      <c r="M20" s="45">
        <v>9</v>
      </c>
      <c r="N20" s="70">
        <v>8</v>
      </c>
      <c r="O20" s="70">
        <v>33</v>
      </c>
      <c r="P20" s="29">
        <v>12</v>
      </c>
      <c r="Q20" s="29">
        <v>13</v>
      </c>
      <c r="R20" s="29">
        <v>13</v>
      </c>
      <c r="S20" s="29">
        <v>10</v>
      </c>
      <c r="T20" s="106">
        <v>50</v>
      </c>
      <c r="U20" s="29">
        <v>0</v>
      </c>
      <c r="V20" s="29">
        <v>0</v>
      </c>
      <c r="W20" s="29">
        <v>0</v>
      </c>
      <c r="X20" s="29">
        <v>1</v>
      </c>
      <c r="Y20" s="29">
        <v>0</v>
      </c>
      <c r="Z20" s="106">
        <v>1</v>
      </c>
      <c r="AA20" s="40">
        <v>0</v>
      </c>
      <c r="AB20" s="40">
        <v>0</v>
      </c>
      <c r="AC20" s="40">
        <v>0</v>
      </c>
      <c r="AD20" s="40">
        <v>0</v>
      </c>
      <c r="AE20" s="106">
        <v>0</v>
      </c>
      <c r="AF20" s="40">
        <v>0</v>
      </c>
      <c r="AG20" s="45">
        <v>0</v>
      </c>
      <c r="AH20" s="45">
        <v>0</v>
      </c>
      <c r="AI20" s="45">
        <v>0</v>
      </c>
      <c r="AJ20" s="106">
        <v>0</v>
      </c>
      <c r="AK20" s="40">
        <v>1</v>
      </c>
      <c r="AL20" s="40">
        <v>0</v>
      </c>
      <c r="AM20" s="40">
        <v>0</v>
      </c>
      <c r="AN20" s="40">
        <v>1</v>
      </c>
      <c r="AO20" s="40">
        <v>0</v>
      </c>
      <c r="AP20" s="106">
        <v>2</v>
      </c>
      <c r="AQ20" s="40">
        <v>0</v>
      </c>
      <c r="AR20" s="40">
        <v>1</v>
      </c>
      <c r="AS20" s="40">
        <v>1</v>
      </c>
      <c r="AT20" s="40">
        <v>1</v>
      </c>
      <c r="AU20" s="106">
        <v>3</v>
      </c>
      <c r="AV20" s="40">
        <v>3</v>
      </c>
      <c r="AW20" s="40">
        <v>0</v>
      </c>
      <c r="AX20" s="40">
        <v>1</v>
      </c>
      <c r="AY20" s="40">
        <v>6</v>
      </c>
      <c r="AZ20" s="106">
        <v>16</v>
      </c>
      <c r="BA20" s="40">
        <v>17</v>
      </c>
      <c r="BB20" s="40">
        <v>17</v>
      </c>
      <c r="BC20" s="40">
        <v>9</v>
      </c>
      <c r="BD20" s="40">
        <v>19</v>
      </c>
      <c r="BE20" s="40">
        <v>22</v>
      </c>
      <c r="BF20" s="106">
        <v>74</v>
      </c>
      <c r="BG20" s="40">
        <v>21</v>
      </c>
      <c r="BH20" s="40">
        <v>21</v>
      </c>
      <c r="BI20" s="40">
        <v>22</v>
      </c>
      <c r="BJ20" s="40">
        <v>13</v>
      </c>
      <c r="BK20" s="106">
        <v>83</v>
      </c>
      <c r="BL20" s="40">
        <v>19</v>
      </c>
      <c r="BM20" s="40">
        <v>14</v>
      </c>
      <c r="BN20" s="40">
        <v>18</v>
      </c>
      <c r="BO20" s="40">
        <v>6</v>
      </c>
      <c r="BP20" s="40">
        <v>8</v>
      </c>
      <c r="BQ20" s="103">
        <v>62</v>
      </c>
      <c r="BR20" s="40">
        <v>17</v>
      </c>
      <c r="BS20" s="40">
        <v>22</v>
      </c>
      <c r="BT20" s="40">
        <v>10</v>
      </c>
      <c r="BU20" s="40">
        <v>18</v>
      </c>
      <c r="BV20" s="103">
        <v>71</v>
      </c>
      <c r="BW20" s="40">
        <v>11</v>
      </c>
      <c r="BX20" s="40">
        <v>0</v>
      </c>
      <c r="BY20" s="40">
        <v>1</v>
      </c>
      <c r="BZ20" s="40">
        <v>0</v>
      </c>
      <c r="CA20" s="103">
        <v>11</v>
      </c>
      <c r="CB20" s="40">
        <v>0</v>
      </c>
      <c r="CC20" s="40">
        <v>0</v>
      </c>
      <c r="CD20" s="40">
        <v>0</v>
      </c>
      <c r="CE20" s="40">
        <v>0</v>
      </c>
      <c r="CF20" s="103">
        <v>0</v>
      </c>
      <c r="CG20" s="40">
        <v>0</v>
      </c>
      <c r="CH20" s="40">
        <v>0</v>
      </c>
      <c r="CI20" s="40">
        <v>2</v>
      </c>
      <c r="CJ20" s="40">
        <v>0</v>
      </c>
      <c r="CK20" s="40">
        <v>0</v>
      </c>
      <c r="CL20" s="103">
        <v>2</v>
      </c>
    </row>
    <row r="21" spans="1:98">
      <c r="A21" s="282"/>
      <c r="B21" t="s">
        <v>72</v>
      </c>
      <c r="C21" s="30">
        <v>10</v>
      </c>
      <c r="D21" t="s">
        <v>68</v>
      </c>
      <c r="E21" s="83">
        <v>34</v>
      </c>
      <c r="F21" s="45">
        <v>32</v>
      </c>
      <c r="G21" s="45">
        <v>38</v>
      </c>
      <c r="H21" s="45">
        <v>26</v>
      </c>
      <c r="I21" s="45">
        <v>27</v>
      </c>
      <c r="J21" s="70">
        <v>44</v>
      </c>
      <c r="K21" s="45">
        <v>11</v>
      </c>
      <c r="L21" s="45">
        <v>10</v>
      </c>
      <c r="M21" s="45">
        <v>12</v>
      </c>
      <c r="N21" s="70">
        <v>10</v>
      </c>
      <c r="O21" s="70">
        <v>43</v>
      </c>
      <c r="P21" s="29">
        <v>9</v>
      </c>
      <c r="Q21" s="29">
        <v>7</v>
      </c>
      <c r="R21" s="29">
        <v>8</v>
      </c>
      <c r="S21" s="29">
        <v>5</v>
      </c>
      <c r="T21" s="106">
        <v>32</v>
      </c>
      <c r="U21" s="29">
        <v>28</v>
      </c>
      <c r="V21" s="29">
        <v>20</v>
      </c>
      <c r="W21" s="29">
        <v>19</v>
      </c>
      <c r="X21" s="29">
        <v>23</v>
      </c>
      <c r="Y21" s="29">
        <v>25</v>
      </c>
      <c r="Z21" s="106">
        <v>107</v>
      </c>
      <c r="AA21" s="40">
        <v>22</v>
      </c>
      <c r="AB21" s="40">
        <v>19</v>
      </c>
      <c r="AC21" s="40">
        <v>17</v>
      </c>
      <c r="AD21" s="40">
        <v>18</v>
      </c>
      <c r="AE21" s="106">
        <v>80</v>
      </c>
      <c r="AF21" s="40">
        <v>10</v>
      </c>
      <c r="AG21" s="45">
        <v>15</v>
      </c>
      <c r="AH21" s="45">
        <v>21</v>
      </c>
      <c r="AI21" s="45">
        <v>22</v>
      </c>
      <c r="AJ21" s="106">
        <v>72</v>
      </c>
      <c r="AK21" s="40">
        <v>17</v>
      </c>
      <c r="AL21" s="40">
        <v>11</v>
      </c>
      <c r="AM21" s="40">
        <v>18</v>
      </c>
      <c r="AN21" s="40">
        <v>14</v>
      </c>
      <c r="AO21" s="40">
        <v>17</v>
      </c>
      <c r="AP21" s="106">
        <v>65</v>
      </c>
      <c r="AQ21" s="40">
        <v>14</v>
      </c>
      <c r="AR21" s="40">
        <v>20</v>
      </c>
      <c r="AS21" s="40">
        <v>8</v>
      </c>
      <c r="AT21" s="40">
        <v>12</v>
      </c>
      <c r="AU21" s="106">
        <v>60</v>
      </c>
      <c r="AV21" s="40">
        <v>15</v>
      </c>
      <c r="AW21" s="40">
        <v>18</v>
      </c>
      <c r="AX21" s="40">
        <v>14</v>
      </c>
      <c r="AY21" s="40">
        <v>4</v>
      </c>
      <c r="AZ21" s="106">
        <v>55</v>
      </c>
      <c r="BA21" s="40">
        <v>6</v>
      </c>
      <c r="BB21" s="40">
        <v>1</v>
      </c>
      <c r="BC21" s="40">
        <v>6</v>
      </c>
      <c r="BD21" s="40">
        <v>4</v>
      </c>
      <c r="BE21" s="40">
        <v>3</v>
      </c>
      <c r="BF21" s="106">
        <v>15</v>
      </c>
      <c r="BG21" s="40">
        <v>2</v>
      </c>
      <c r="BH21" s="40">
        <v>1</v>
      </c>
      <c r="BI21" s="40">
        <v>0</v>
      </c>
      <c r="BJ21" s="40">
        <v>0</v>
      </c>
      <c r="BK21" s="106">
        <v>4</v>
      </c>
      <c r="BL21" s="40">
        <v>3</v>
      </c>
      <c r="BM21" s="40">
        <v>8</v>
      </c>
      <c r="BN21" s="40">
        <v>0</v>
      </c>
      <c r="BO21" s="40">
        <v>5</v>
      </c>
      <c r="BP21" s="40">
        <v>0</v>
      </c>
      <c r="BQ21" s="103">
        <v>16</v>
      </c>
      <c r="BR21" s="40">
        <v>7</v>
      </c>
      <c r="BS21" s="40">
        <v>2</v>
      </c>
      <c r="BT21" s="40">
        <v>8</v>
      </c>
      <c r="BU21" s="40">
        <v>3</v>
      </c>
      <c r="BV21" s="103">
        <v>20</v>
      </c>
      <c r="BW21" s="40">
        <v>15</v>
      </c>
      <c r="BX21" s="40">
        <v>20</v>
      </c>
      <c r="BY21" s="40">
        <v>22</v>
      </c>
      <c r="BZ21" s="40">
        <v>19</v>
      </c>
      <c r="CA21" s="103">
        <v>73</v>
      </c>
      <c r="CB21" s="40">
        <v>17</v>
      </c>
      <c r="CC21" s="40">
        <v>24</v>
      </c>
      <c r="CD21" s="40">
        <v>15</v>
      </c>
      <c r="CE21" s="40">
        <v>24</v>
      </c>
      <c r="CF21" s="103">
        <v>86</v>
      </c>
      <c r="CG21" s="40">
        <v>17</v>
      </c>
      <c r="CH21" s="40">
        <v>13</v>
      </c>
      <c r="CI21" s="40">
        <v>19</v>
      </c>
      <c r="CJ21" s="40">
        <v>18</v>
      </c>
      <c r="CK21" s="40">
        <v>22</v>
      </c>
      <c r="CL21" s="103">
        <v>74</v>
      </c>
    </row>
    <row r="22" spans="1:98">
      <c r="A22" s="282"/>
      <c r="C22" s="34">
        <v>25</v>
      </c>
      <c r="D22" s="9" t="s">
        <v>88</v>
      </c>
      <c r="E22" s="84"/>
      <c r="F22" s="63"/>
      <c r="G22" s="63"/>
      <c r="H22" s="63"/>
      <c r="I22" s="63"/>
      <c r="J22" s="43">
        <f>J20+J21</f>
        <v>91</v>
      </c>
      <c r="K22" s="63"/>
      <c r="L22" s="63"/>
      <c r="M22" s="63"/>
      <c r="N22" s="71"/>
      <c r="O22" s="71"/>
      <c r="P22" s="142">
        <f t="shared" ref="P22:R22" si="48">SUM(P20:P21)</f>
        <v>21</v>
      </c>
      <c r="Q22" s="142">
        <f t="shared" si="48"/>
        <v>20</v>
      </c>
      <c r="R22" s="142">
        <f t="shared" si="48"/>
        <v>21</v>
      </c>
      <c r="S22" s="142">
        <f t="shared" ref="S22:AJ22" si="49">SUM(S20:S21)</f>
        <v>15</v>
      </c>
      <c r="T22" s="112">
        <f t="shared" si="49"/>
        <v>82</v>
      </c>
      <c r="U22" s="142">
        <f t="shared" si="49"/>
        <v>28</v>
      </c>
      <c r="V22" s="142">
        <f t="shared" si="49"/>
        <v>20</v>
      </c>
      <c r="W22" s="142">
        <f t="shared" si="49"/>
        <v>19</v>
      </c>
      <c r="X22" s="142">
        <f t="shared" si="49"/>
        <v>24</v>
      </c>
      <c r="Y22" s="142">
        <f t="shared" si="49"/>
        <v>25</v>
      </c>
      <c r="Z22" s="112">
        <f t="shared" si="49"/>
        <v>108</v>
      </c>
      <c r="AA22" s="43">
        <f t="shared" si="49"/>
        <v>22</v>
      </c>
      <c r="AB22" s="43">
        <f t="shared" si="49"/>
        <v>19</v>
      </c>
      <c r="AC22" s="43">
        <f t="shared" si="49"/>
        <v>17</v>
      </c>
      <c r="AD22" s="43">
        <f t="shared" si="49"/>
        <v>18</v>
      </c>
      <c r="AE22" s="112">
        <f t="shared" si="49"/>
        <v>80</v>
      </c>
      <c r="AF22" s="43">
        <f t="shared" si="49"/>
        <v>10</v>
      </c>
      <c r="AG22" s="63">
        <f t="shared" si="49"/>
        <v>15</v>
      </c>
      <c r="AH22" s="63">
        <f t="shared" si="49"/>
        <v>21</v>
      </c>
      <c r="AI22" s="63">
        <f t="shared" si="49"/>
        <v>22</v>
      </c>
      <c r="AJ22" s="112">
        <f t="shared" si="49"/>
        <v>72</v>
      </c>
      <c r="AK22" s="43">
        <f t="shared" ref="AK22:BV22" si="50">AK20+AK21</f>
        <v>18</v>
      </c>
      <c r="AL22" s="43">
        <f t="shared" si="50"/>
        <v>11</v>
      </c>
      <c r="AM22" s="43">
        <f t="shared" si="50"/>
        <v>18</v>
      </c>
      <c r="AN22" s="43">
        <f t="shared" si="50"/>
        <v>15</v>
      </c>
      <c r="AO22" s="43">
        <f t="shared" si="50"/>
        <v>17</v>
      </c>
      <c r="AP22" s="112">
        <f t="shared" si="50"/>
        <v>67</v>
      </c>
      <c r="AQ22" s="43">
        <f t="shared" si="50"/>
        <v>14</v>
      </c>
      <c r="AR22" s="43">
        <f t="shared" si="50"/>
        <v>21</v>
      </c>
      <c r="AS22" s="43">
        <f t="shared" si="50"/>
        <v>9</v>
      </c>
      <c r="AT22" s="43">
        <f t="shared" si="50"/>
        <v>13</v>
      </c>
      <c r="AU22" s="112">
        <f t="shared" si="50"/>
        <v>63</v>
      </c>
      <c r="AV22" s="43">
        <f t="shared" si="50"/>
        <v>18</v>
      </c>
      <c r="AW22" s="43">
        <f t="shared" si="50"/>
        <v>18</v>
      </c>
      <c r="AX22" s="43">
        <f t="shared" si="50"/>
        <v>15</v>
      </c>
      <c r="AY22" s="43">
        <f t="shared" si="50"/>
        <v>10</v>
      </c>
      <c r="AZ22" s="112">
        <f t="shared" si="50"/>
        <v>71</v>
      </c>
      <c r="BA22" s="43">
        <f t="shared" si="50"/>
        <v>23</v>
      </c>
      <c r="BB22" s="43">
        <f t="shared" si="50"/>
        <v>18</v>
      </c>
      <c r="BC22" s="43">
        <f t="shared" si="50"/>
        <v>15</v>
      </c>
      <c r="BD22" s="43">
        <f t="shared" si="50"/>
        <v>23</v>
      </c>
      <c r="BE22" s="43">
        <f t="shared" si="50"/>
        <v>25</v>
      </c>
      <c r="BF22" s="112">
        <f t="shared" si="50"/>
        <v>89</v>
      </c>
      <c r="BG22" s="43">
        <f t="shared" si="50"/>
        <v>23</v>
      </c>
      <c r="BH22" s="43">
        <f t="shared" si="50"/>
        <v>22</v>
      </c>
      <c r="BI22" s="43">
        <f t="shared" si="50"/>
        <v>22</v>
      </c>
      <c r="BJ22" s="43">
        <f t="shared" si="50"/>
        <v>13</v>
      </c>
      <c r="BK22" s="112">
        <f t="shared" si="50"/>
        <v>87</v>
      </c>
      <c r="BL22" s="43">
        <f t="shared" si="50"/>
        <v>22</v>
      </c>
      <c r="BM22" s="43">
        <f t="shared" si="50"/>
        <v>22</v>
      </c>
      <c r="BN22" s="43">
        <f t="shared" si="50"/>
        <v>18</v>
      </c>
      <c r="BO22" s="43">
        <f t="shared" si="50"/>
        <v>11</v>
      </c>
      <c r="BP22" s="43">
        <f t="shared" si="50"/>
        <v>8</v>
      </c>
      <c r="BQ22" s="112">
        <f t="shared" si="50"/>
        <v>78</v>
      </c>
      <c r="BR22" s="43">
        <f t="shared" si="50"/>
        <v>24</v>
      </c>
      <c r="BS22" s="43">
        <f t="shared" si="50"/>
        <v>24</v>
      </c>
      <c r="BT22" s="43">
        <f t="shared" si="50"/>
        <v>18</v>
      </c>
      <c r="BU22" s="43">
        <f t="shared" si="50"/>
        <v>21</v>
      </c>
      <c r="BV22" s="104">
        <f t="shared" si="50"/>
        <v>91</v>
      </c>
      <c r="BW22" s="43">
        <f>BW20+BW21</f>
        <v>26</v>
      </c>
      <c r="BX22" s="43">
        <f>BX20+BX21</f>
        <v>20</v>
      </c>
      <c r="BY22" s="43">
        <f>BY20+BY21</f>
        <v>23</v>
      </c>
      <c r="BZ22" s="43">
        <f>BZ20+BZ21</f>
        <v>19</v>
      </c>
      <c r="CA22" s="104">
        <f t="shared" ref="CA22" si="51">CA20+CA21</f>
        <v>84</v>
      </c>
      <c r="CB22" s="43">
        <f>CB20+CB21</f>
        <v>17</v>
      </c>
      <c r="CC22" s="43">
        <f>CC20+CC21</f>
        <v>24</v>
      </c>
      <c r="CD22" s="43">
        <f>CD20+CD21</f>
        <v>15</v>
      </c>
      <c r="CE22" s="43">
        <f>CE20+CE21</f>
        <v>24</v>
      </c>
      <c r="CF22" s="104">
        <f t="shared" ref="CF22" si="52">CF20+CF21</f>
        <v>86</v>
      </c>
      <c r="CG22" s="43">
        <f>CG20+CG21</f>
        <v>17</v>
      </c>
      <c r="CH22" s="43">
        <f>CH20+CH21</f>
        <v>13</v>
      </c>
      <c r="CI22" s="43">
        <f>CI20+CI21</f>
        <v>21</v>
      </c>
      <c r="CJ22" s="43">
        <f>CJ20+CJ21</f>
        <v>18</v>
      </c>
      <c r="CK22" s="43">
        <f>CK20+CK21</f>
        <v>22</v>
      </c>
      <c r="CL22" s="104">
        <f t="shared" ref="CL22" si="53">CL20+CL21</f>
        <v>76</v>
      </c>
    </row>
    <row r="23" spans="1:98">
      <c r="A23" s="282"/>
      <c r="B23" t="s">
        <v>75</v>
      </c>
      <c r="C23" s="30">
        <v>7</v>
      </c>
      <c r="D23" t="s">
        <v>76</v>
      </c>
      <c r="E23" s="83">
        <v>18</v>
      </c>
      <c r="F23" s="45">
        <v>20</v>
      </c>
      <c r="G23" s="45">
        <v>19</v>
      </c>
      <c r="H23" s="45">
        <v>17</v>
      </c>
      <c r="I23" s="45">
        <v>21</v>
      </c>
      <c r="J23" s="70">
        <v>23</v>
      </c>
      <c r="K23" s="45">
        <v>0</v>
      </c>
      <c r="L23" s="45">
        <v>8</v>
      </c>
      <c r="M23" s="45">
        <v>7</v>
      </c>
      <c r="N23" s="70">
        <v>3</v>
      </c>
      <c r="O23" s="70">
        <v>18</v>
      </c>
      <c r="P23" s="29">
        <v>7</v>
      </c>
      <c r="Q23" s="29">
        <v>7</v>
      </c>
      <c r="R23" s="29">
        <v>4</v>
      </c>
      <c r="S23" s="29">
        <v>10</v>
      </c>
      <c r="T23" s="106">
        <v>30</v>
      </c>
      <c r="U23" s="29">
        <v>5</v>
      </c>
      <c r="V23" s="29">
        <v>5</v>
      </c>
      <c r="W23" s="29">
        <v>9</v>
      </c>
      <c r="X23" s="29">
        <v>6</v>
      </c>
      <c r="Y23" s="29">
        <v>4</v>
      </c>
      <c r="Z23" s="106">
        <v>24</v>
      </c>
      <c r="AA23" s="40">
        <v>10</v>
      </c>
      <c r="AB23" s="40">
        <v>12</v>
      </c>
      <c r="AC23" s="40">
        <v>6</v>
      </c>
      <c r="AD23" s="40">
        <v>4</v>
      </c>
      <c r="AE23" s="106">
        <v>36</v>
      </c>
      <c r="AF23" s="40">
        <v>6</v>
      </c>
      <c r="AG23" s="45">
        <v>4</v>
      </c>
      <c r="AH23" s="45">
        <v>8</v>
      </c>
      <c r="AI23" s="45">
        <v>11</v>
      </c>
      <c r="AJ23" s="106">
        <f>1+30</f>
        <v>31</v>
      </c>
      <c r="AK23" s="40">
        <v>8</v>
      </c>
      <c r="AL23" s="40">
        <v>3</v>
      </c>
      <c r="AM23" s="40">
        <v>8</v>
      </c>
      <c r="AN23" s="40">
        <v>6</v>
      </c>
      <c r="AO23" s="40">
        <v>5</v>
      </c>
      <c r="AP23" s="106">
        <v>29</v>
      </c>
      <c r="AQ23" s="40">
        <v>7</v>
      </c>
      <c r="AR23" s="40">
        <v>10</v>
      </c>
      <c r="AS23" s="40">
        <v>6</v>
      </c>
      <c r="AT23" s="40">
        <v>8</v>
      </c>
      <c r="AU23" s="106">
        <v>32</v>
      </c>
      <c r="AV23" s="40">
        <v>7</v>
      </c>
      <c r="AW23" s="40">
        <v>8</v>
      </c>
      <c r="AX23" s="40">
        <v>5</v>
      </c>
      <c r="AY23" s="40">
        <v>5</v>
      </c>
      <c r="AZ23" s="106">
        <v>25</v>
      </c>
      <c r="BA23" s="40">
        <v>6</v>
      </c>
      <c r="BB23" s="40">
        <v>7</v>
      </c>
      <c r="BC23" s="40">
        <v>6</v>
      </c>
      <c r="BD23" s="40">
        <v>5</v>
      </c>
      <c r="BE23" s="40">
        <v>7</v>
      </c>
      <c r="BF23" s="106">
        <v>30</v>
      </c>
      <c r="BG23" s="40">
        <v>8</v>
      </c>
      <c r="BH23" s="40">
        <v>8</v>
      </c>
      <c r="BI23" s="40">
        <v>3</v>
      </c>
      <c r="BJ23" s="40">
        <v>2</v>
      </c>
      <c r="BK23" s="106">
        <v>21</v>
      </c>
      <c r="BL23" s="40">
        <v>9</v>
      </c>
      <c r="BM23" s="40">
        <v>6</v>
      </c>
      <c r="BN23" s="40">
        <v>9</v>
      </c>
      <c r="BO23" s="40">
        <v>5</v>
      </c>
      <c r="BP23" s="40">
        <v>4</v>
      </c>
      <c r="BQ23" s="103">
        <v>31</v>
      </c>
      <c r="BR23" s="40">
        <v>4</v>
      </c>
      <c r="BS23" s="40">
        <v>4</v>
      </c>
      <c r="BT23" s="40">
        <v>8</v>
      </c>
      <c r="BU23" s="40">
        <v>2</v>
      </c>
      <c r="BV23" s="103">
        <v>20</v>
      </c>
      <c r="BW23" s="40">
        <v>10</v>
      </c>
      <c r="BX23" s="40">
        <v>10</v>
      </c>
      <c r="BY23" s="40">
        <v>6</v>
      </c>
      <c r="BZ23" s="40">
        <v>10</v>
      </c>
      <c r="CA23" s="103">
        <v>36</v>
      </c>
      <c r="CB23" s="40">
        <v>9</v>
      </c>
      <c r="CC23" s="40">
        <v>4</v>
      </c>
      <c r="CD23" s="40">
        <v>9</v>
      </c>
      <c r="CE23" s="40">
        <v>5</v>
      </c>
      <c r="CF23" s="103">
        <v>28</v>
      </c>
      <c r="CG23" s="40">
        <v>3</v>
      </c>
      <c r="CH23" s="40">
        <v>4</v>
      </c>
      <c r="CI23" s="40">
        <v>5</v>
      </c>
      <c r="CJ23" s="40">
        <v>6</v>
      </c>
      <c r="CK23" s="40">
        <v>4</v>
      </c>
      <c r="CL23" s="103">
        <v>21</v>
      </c>
    </row>
    <row r="24" spans="1:98">
      <c r="A24" s="282"/>
      <c r="B24" t="s">
        <v>75</v>
      </c>
      <c r="C24" s="30">
        <v>5</v>
      </c>
      <c r="D24" t="s">
        <v>77</v>
      </c>
      <c r="E24" s="83"/>
      <c r="F24" s="45"/>
      <c r="G24" s="45"/>
      <c r="H24" s="45">
        <v>3</v>
      </c>
      <c r="I24" s="45">
        <v>7</v>
      </c>
      <c r="J24" s="70">
        <v>7</v>
      </c>
      <c r="K24" s="45">
        <v>2</v>
      </c>
      <c r="L24" s="45">
        <v>1</v>
      </c>
      <c r="M24" s="45">
        <v>1</v>
      </c>
      <c r="N24" s="70">
        <v>0</v>
      </c>
      <c r="O24" s="70">
        <v>4</v>
      </c>
      <c r="P24" s="29">
        <v>0</v>
      </c>
      <c r="Q24" s="29">
        <v>2</v>
      </c>
      <c r="R24" s="29">
        <v>0</v>
      </c>
      <c r="S24" s="29">
        <v>2</v>
      </c>
      <c r="T24" s="106">
        <v>4</v>
      </c>
      <c r="U24" s="29">
        <v>0</v>
      </c>
      <c r="V24" s="29">
        <v>2</v>
      </c>
      <c r="W24" s="29">
        <v>1</v>
      </c>
      <c r="X24" s="29">
        <v>1</v>
      </c>
      <c r="Y24" s="29">
        <v>1</v>
      </c>
      <c r="Z24" s="106">
        <v>5</v>
      </c>
      <c r="AA24" s="40">
        <v>1</v>
      </c>
      <c r="AB24" s="40">
        <v>2</v>
      </c>
      <c r="AC24" s="40">
        <v>3</v>
      </c>
      <c r="AD24" s="40">
        <v>0</v>
      </c>
      <c r="AE24" s="106">
        <v>6</v>
      </c>
      <c r="AF24" s="40">
        <v>4</v>
      </c>
      <c r="AG24" s="45">
        <v>2</v>
      </c>
      <c r="AH24" s="45">
        <v>3</v>
      </c>
      <c r="AI24" s="45">
        <v>2</v>
      </c>
      <c r="AJ24" s="106">
        <v>11</v>
      </c>
      <c r="AK24" s="40">
        <v>3</v>
      </c>
      <c r="AL24" s="40">
        <v>2</v>
      </c>
      <c r="AM24" s="40">
        <v>2</v>
      </c>
      <c r="AN24" s="40">
        <v>2</v>
      </c>
      <c r="AO24" s="40">
        <v>5</v>
      </c>
      <c r="AP24" s="106">
        <v>13</v>
      </c>
      <c r="AQ24" s="40">
        <v>2</v>
      </c>
      <c r="AR24" s="40">
        <v>4</v>
      </c>
      <c r="AS24" s="40">
        <v>3</v>
      </c>
      <c r="AT24" s="40">
        <v>1</v>
      </c>
      <c r="AU24" s="106">
        <f>11+1</f>
        <v>12</v>
      </c>
      <c r="AV24" s="40">
        <v>1</v>
      </c>
      <c r="AW24" s="40">
        <v>4</v>
      </c>
      <c r="AX24" s="40">
        <v>1</v>
      </c>
      <c r="AY24" s="40">
        <v>2</v>
      </c>
      <c r="AZ24" s="106">
        <v>8</v>
      </c>
      <c r="BA24" s="40">
        <v>1</v>
      </c>
      <c r="BB24" s="40">
        <v>1</v>
      </c>
      <c r="BC24" s="40">
        <v>4</v>
      </c>
      <c r="BD24" s="40">
        <v>1</v>
      </c>
      <c r="BE24" s="40">
        <v>5</v>
      </c>
      <c r="BF24" s="106">
        <v>11</v>
      </c>
      <c r="BG24" s="40">
        <v>2</v>
      </c>
      <c r="BH24" s="40">
        <v>3</v>
      </c>
      <c r="BI24" s="40">
        <v>1</v>
      </c>
      <c r="BJ24" s="40">
        <v>1</v>
      </c>
      <c r="BK24" s="106">
        <f>0+8</f>
        <v>8</v>
      </c>
      <c r="BL24" s="40">
        <v>2</v>
      </c>
      <c r="BM24" s="40">
        <v>4</v>
      </c>
      <c r="BN24" s="40">
        <v>1</v>
      </c>
      <c r="BO24" s="40">
        <v>2</v>
      </c>
      <c r="BP24" s="40">
        <v>1</v>
      </c>
      <c r="BQ24" s="103">
        <v>10</v>
      </c>
      <c r="BR24" s="40">
        <v>1</v>
      </c>
      <c r="BS24" s="40">
        <v>1</v>
      </c>
      <c r="BT24" s="40">
        <v>2</v>
      </c>
      <c r="BU24" s="40">
        <v>3</v>
      </c>
      <c r="BV24" s="103">
        <v>8</v>
      </c>
      <c r="BW24" s="40">
        <v>2</v>
      </c>
      <c r="BX24" s="40">
        <v>5</v>
      </c>
      <c r="BY24" s="40">
        <v>2</v>
      </c>
      <c r="BZ24" s="40">
        <v>5</v>
      </c>
      <c r="CA24" s="103">
        <v>14</v>
      </c>
      <c r="CB24" s="40">
        <v>1</v>
      </c>
      <c r="CC24" s="40">
        <v>1</v>
      </c>
      <c r="CD24" s="40">
        <v>1</v>
      </c>
      <c r="CE24" s="40">
        <v>3</v>
      </c>
      <c r="CF24" s="103">
        <v>6</v>
      </c>
      <c r="CG24" s="40">
        <v>0</v>
      </c>
      <c r="CH24" s="40">
        <v>0</v>
      </c>
      <c r="CI24" s="40">
        <v>5</v>
      </c>
      <c r="CJ24" s="40">
        <v>6</v>
      </c>
      <c r="CK24" s="40">
        <v>1</v>
      </c>
      <c r="CL24" s="103">
        <v>11</v>
      </c>
    </row>
    <row r="25" spans="1:98">
      <c r="A25" s="282"/>
      <c r="B25" t="s">
        <v>75</v>
      </c>
      <c r="C25" s="30">
        <v>3</v>
      </c>
      <c r="D25" t="s">
        <v>78</v>
      </c>
      <c r="E25" s="83"/>
      <c r="F25" s="45"/>
      <c r="G25" s="45"/>
      <c r="H25" s="45">
        <v>5</v>
      </c>
      <c r="I25" s="45">
        <v>8</v>
      </c>
      <c r="J25" s="70">
        <v>7</v>
      </c>
      <c r="K25" s="45">
        <v>3</v>
      </c>
      <c r="L25" s="45">
        <v>2</v>
      </c>
      <c r="M25" s="45">
        <v>0</v>
      </c>
      <c r="N25" s="70">
        <v>3</v>
      </c>
      <c r="O25" s="70">
        <v>8</v>
      </c>
      <c r="P25" s="29">
        <v>0</v>
      </c>
      <c r="Q25" s="29">
        <v>3</v>
      </c>
      <c r="R25" s="29">
        <v>1</v>
      </c>
      <c r="S25" s="29">
        <v>3</v>
      </c>
      <c r="T25" s="106">
        <v>8</v>
      </c>
      <c r="U25" s="29">
        <v>5</v>
      </c>
      <c r="V25" s="29">
        <v>2</v>
      </c>
      <c r="W25" s="29">
        <v>2</v>
      </c>
      <c r="X25" s="29">
        <v>0</v>
      </c>
      <c r="Y25" s="29">
        <v>0</v>
      </c>
      <c r="Z25" s="106">
        <v>8</v>
      </c>
      <c r="AA25" s="45">
        <v>0.01</v>
      </c>
      <c r="AB25" s="40">
        <v>3</v>
      </c>
      <c r="AC25" s="40">
        <v>2</v>
      </c>
      <c r="AD25" s="40">
        <v>0</v>
      </c>
      <c r="AE25" s="106">
        <v>5</v>
      </c>
      <c r="AF25" s="40">
        <v>1</v>
      </c>
      <c r="AG25" s="45">
        <v>3</v>
      </c>
      <c r="AH25" s="45">
        <v>4</v>
      </c>
      <c r="AI25" s="45">
        <v>1</v>
      </c>
      <c r="AJ25" s="106">
        <v>11</v>
      </c>
      <c r="AK25" s="40">
        <v>1</v>
      </c>
      <c r="AL25" s="40">
        <v>1</v>
      </c>
      <c r="AM25" s="40">
        <v>4</v>
      </c>
      <c r="AN25" s="40">
        <v>2</v>
      </c>
      <c r="AO25" s="40">
        <v>2</v>
      </c>
      <c r="AP25" s="106">
        <v>9</v>
      </c>
      <c r="AQ25" s="40">
        <v>0</v>
      </c>
      <c r="AR25" s="40">
        <v>3</v>
      </c>
      <c r="AS25" s="40">
        <v>1</v>
      </c>
      <c r="AT25" s="40">
        <v>3</v>
      </c>
      <c r="AU25" s="106">
        <f>7</f>
        <v>7</v>
      </c>
      <c r="AV25" s="40">
        <v>0</v>
      </c>
      <c r="AW25" s="40">
        <v>0</v>
      </c>
      <c r="AX25" s="40">
        <v>0</v>
      </c>
      <c r="AY25" s="40">
        <v>1</v>
      </c>
      <c r="AZ25" s="106">
        <v>2</v>
      </c>
      <c r="BA25" s="40">
        <v>1</v>
      </c>
      <c r="BB25" s="40">
        <v>2</v>
      </c>
      <c r="BC25" s="40">
        <v>1</v>
      </c>
      <c r="BD25" s="40">
        <v>1</v>
      </c>
      <c r="BE25" s="40">
        <v>1</v>
      </c>
      <c r="BF25" s="106">
        <v>5</v>
      </c>
      <c r="BG25" s="40">
        <v>0</v>
      </c>
      <c r="BH25" s="40">
        <v>0</v>
      </c>
      <c r="BI25" s="40">
        <v>2</v>
      </c>
      <c r="BJ25" s="40">
        <v>3</v>
      </c>
      <c r="BK25" s="106">
        <v>5</v>
      </c>
      <c r="BL25" s="40">
        <v>0</v>
      </c>
      <c r="BM25" s="40">
        <v>0</v>
      </c>
      <c r="BN25" s="40">
        <v>0</v>
      </c>
      <c r="BO25" s="40">
        <v>0</v>
      </c>
      <c r="BP25" s="40">
        <v>2</v>
      </c>
      <c r="BQ25" s="103">
        <v>0</v>
      </c>
      <c r="BR25" s="40">
        <v>0</v>
      </c>
      <c r="BS25" s="40">
        <v>0</v>
      </c>
      <c r="BT25" s="40">
        <v>1</v>
      </c>
      <c r="BU25" s="40">
        <v>0</v>
      </c>
      <c r="BV25" s="103">
        <v>1</v>
      </c>
      <c r="BW25" s="40">
        <v>1</v>
      </c>
      <c r="BX25" s="40">
        <v>0</v>
      </c>
      <c r="BY25" s="40">
        <v>1</v>
      </c>
      <c r="BZ25" s="40">
        <v>1</v>
      </c>
      <c r="CA25" s="103">
        <v>3</v>
      </c>
      <c r="CB25" s="40">
        <v>0</v>
      </c>
      <c r="CC25" s="40">
        <v>1</v>
      </c>
      <c r="CD25" s="40">
        <v>1</v>
      </c>
      <c r="CE25" s="40">
        <v>1</v>
      </c>
      <c r="CF25" s="103">
        <v>3</v>
      </c>
      <c r="CG25" s="40">
        <v>3</v>
      </c>
      <c r="CH25" s="40">
        <v>0</v>
      </c>
      <c r="CI25" s="40">
        <v>0</v>
      </c>
      <c r="CJ25" s="40">
        <v>1</v>
      </c>
      <c r="CK25" s="40">
        <v>2</v>
      </c>
      <c r="CL25" s="103">
        <v>5</v>
      </c>
    </row>
    <row r="26" spans="1:98">
      <c r="A26" s="282"/>
      <c r="B26" t="s">
        <v>75</v>
      </c>
      <c r="C26" s="30">
        <v>10</v>
      </c>
      <c r="D26" t="s">
        <v>89</v>
      </c>
      <c r="E26" s="83"/>
      <c r="F26" s="45"/>
      <c r="G26" s="45"/>
      <c r="H26" s="45">
        <v>54</v>
      </c>
      <c r="I26" s="45">
        <v>30</v>
      </c>
      <c r="J26" s="70">
        <v>31</v>
      </c>
      <c r="K26" s="45">
        <v>8</v>
      </c>
      <c r="L26" s="45">
        <v>10</v>
      </c>
      <c r="M26" s="45">
        <v>7</v>
      </c>
      <c r="N26" s="70">
        <v>6</v>
      </c>
      <c r="O26" s="70">
        <v>33</v>
      </c>
      <c r="P26" s="29">
        <v>12</v>
      </c>
      <c r="Q26" s="29">
        <v>10</v>
      </c>
      <c r="R26" s="29">
        <v>5</v>
      </c>
      <c r="S26" s="29">
        <v>6</v>
      </c>
      <c r="T26" s="106">
        <v>35</v>
      </c>
      <c r="U26" s="29">
        <v>9</v>
      </c>
      <c r="V26" s="29">
        <v>5</v>
      </c>
      <c r="W26" s="29">
        <v>9</v>
      </c>
      <c r="X26" s="29">
        <v>5</v>
      </c>
      <c r="Y26" s="29">
        <v>9</v>
      </c>
      <c r="Z26" s="106">
        <v>32</v>
      </c>
      <c r="AA26" s="40">
        <v>6</v>
      </c>
      <c r="AB26" s="40">
        <v>6</v>
      </c>
      <c r="AC26" s="40">
        <v>10</v>
      </c>
      <c r="AD26" s="40">
        <v>7</v>
      </c>
      <c r="AE26" s="106">
        <v>33</v>
      </c>
      <c r="AF26" s="40">
        <v>7</v>
      </c>
      <c r="AG26" s="45">
        <v>3</v>
      </c>
      <c r="AH26" s="45">
        <v>5</v>
      </c>
      <c r="AI26" s="45">
        <v>5</v>
      </c>
      <c r="AJ26" s="106">
        <v>21</v>
      </c>
      <c r="AK26" s="40">
        <v>2</v>
      </c>
      <c r="AL26" s="40">
        <v>10</v>
      </c>
      <c r="AM26" s="40">
        <v>3</v>
      </c>
      <c r="AN26" s="40">
        <v>8</v>
      </c>
      <c r="AO26" s="40">
        <v>8</v>
      </c>
      <c r="AP26" s="106">
        <v>29</v>
      </c>
      <c r="AQ26" s="40">
        <v>5</v>
      </c>
      <c r="AR26" s="40">
        <v>4</v>
      </c>
      <c r="AS26" s="40">
        <v>7</v>
      </c>
      <c r="AT26" s="40">
        <v>4</v>
      </c>
      <c r="AU26" s="106">
        <f>22</f>
        <v>22</v>
      </c>
      <c r="AV26" s="40">
        <v>4</v>
      </c>
      <c r="AW26" s="40">
        <v>2</v>
      </c>
      <c r="AX26" s="40">
        <v>7</v>
      </c>
      <c r="AY26" s="40">
        <v>3</v>
      </c>
      <c r="AZ26" s="106">
        <v>16</v>
      </c>
      <c r="BA26" s="40">
        <v>3</v>
      </c>
      <c r="BB26" s="40">
        <v>8</v>
      </c>
      <c r="BC26" s="40">
        <v>6</v>
      </c>
      <c r="BD26" s="40">
        <v>10</v>
      </c>
      <c r="BE26" s="40">
        <v>6</v>
      </c>
      <c r="BF26" s="106">
        <v>31</v>
      </c>
      <c r="BG26" s="40">
        <v>6</v>
      </c>
      <c r="BH26" s="40">
        <v>5</v>
      </c>
      <c r="BI26" s="40">
        <v>6</v>
      </c>
      <c r="BJ26" s="40">
        <v>4</v>
      </c>
      <c r="BK26" s="106">
        <f>0+22</f>
        <v>22</v>
      </c>
      <c r="BL26" s="40">
        <v>6</v>
      </c>
      <c r="BM26" s="40">
        <v>11</v>
      </c>
      <c r="BN26" s="40">
        <v>5</v>
      </c>
      <c r="BO26" s="40">
        <v>7</v>
      </c>
      <c r="BP26" s="40">
        <v>8</v>
      </c>
      <c r="BQ26" s="103">
        <v>31</v>
      </c>
      <c r="BR26" s="40">
        <v>7</v>
      </c>
      <c r="BS26" s="40">
        <v>4</v>
      </c>
      <c r="BT26" s="40">
        <v>10</v>
      </c>
      <c r="BU26" s="40">
        <v>11</v>
      </c>
      <c r="BV26" s="103">
        <v>34</v>
      </c>
      <c r="BW26" s="40">
        <v>7</v>
      </c>
      <c r="BX26" s="40">
        <v>6</v>
      </c>
      <c r="BY26" s="40">
        <v>3</v>
      </c>
      <c r="BZ26" s="40">
        <v>7</v>
      </c>
      <c r="CA26" s="103">
        <v>23</v>
      </c>
      <c r="CB26" s="40">
        <v>6</v>
      </c>
      <c r="CC26" s="40">
        <v>0</v>
      </c>
      <c r="CD26" s="40">
        <v>8</v>
      </c>
      <c r="CE26" s="40">
        <v>5</v>
      </c>
      <c r="CF26" s="103">
        <v>21</v>
      </c>
      <c r="CG26" s="40">
        <v>6</v>
      </c>
      <c r="CH26" s="40">
        <v>3</v>
      </c>
      <c r="CI26" s="40">
        <v>5</v>
      </c>
      <c r="CJ26" s="40">
        <v>4</v>
      </c>
      <c r="CK26" s="40">
        <v>7</v>
      </c>
      <c r="CL26" s="103">
        <v>21</v>
      </c>
    </row>
    <row r="27" spans="1:98">
      <c r="A27" s="282"/>
      <c r="C27" s="30">
        <f>C23+C24+C25+C26</f>
        <v>25</v>
      </c>
      <c r="D27" s="9" t="s">
        <v>80</v>
      </c>
      <c r="E27" s="43"/>
      <c r="F27" s="43"/>
      <c r="G27" s="43"/>
      <c r="H27" s="63">
        <f>+H26+H25+H24+H23</f>
        <v>79</v>
      </c>
      <c r="I27" s="63">
        <f t="shared" ref="I27:R27" si="54">+I26+I25+I24+I23</f>
        <v>66</v>
      </c>
      <c r="J27" s="71">
        <f t="shared" si="54"/>
        <v>68</v>
      </c>
      <c r="K27" s="45">
        <f t="shared" si="54"/>
        <v>13</v>
      </c>
      <c r="L27" s="45">
        <f t="shared" si="54"/>
        <v>21</v>
      </c>
      <c r="M27" s="45">
        <f t="shared" si="54"/>
        <v>15</v>
      </c>
      <c r="N27" s="71">
        <f t="shared" si="54"/>
        <v>12</v>
      </c>
      <c r="O27" s="71">
        <f t="shared" si="54"/>
        <v>63</v>
      </c>
      <c r="P27" s="142">
        <f t="shared" si="54"/>
        <v>19</v>
      </c>
      <c r="Q27" s="142">
        <f t="shared" si="54"/>
        <v>22</v>
      </c>
      <c r="R27" s="142">
        <f t="shared" si="54"/>
        <v>10</v>
      </c>
      <c r="S27" s="142">
        <f t="shared" ref="S27:AA27" si="55">SUM(S23:S26)</f>
        <v>21</v>
      </c>
      <c r="T27" s="112">
        <f t="shared" si="55"/>
        <v>77</v>
      </c>
      <c r="U27" s="142">
        <f t="shared" si="55"/>
        <v>19</v>
      </c>
      <c r="V27" s="142">
        <f t="shared" si="55"/>
        <v>14</v>
      </c>
      <c r="W27" s="142">
        <f t="shared" si="55"/>
        <v>21</v>
      </c>
      <c r="X27" s="142">
        <f t="shared" si="55"/>
        <v>12</v>
      </c>
      <c r="Y27" s="142">
        <f t="shared" si="55"/>
        <v>14</v>
      </c>
      <c r="Z27" s="112">
        <f t="shared" si="55"/>
        <v>69</v>
      </c>
      <c r="AA27" s="63">
        <f t="shared" si="55"/>
        <v>17.009999999999998</v>
      </c>
      <c r="AB27" s="43">
        <f>SUM(AB23:AB26)</f>
        <v>23</v>
      </c>
      <c r="AC27" s="43">
        <f>SUM(AC23:AC26)</f>
        <v>21</v>
      </c>
      <c r="AD27" s="43">
        <f>SUM(AD23:AD26)</f>
        <v>11</v>
      </c>
      <c r="AE27" s="112">
        <f t="shared" ref="AE27" si="56">SUM(AE23:AE26)</f>
        <v>80</v>
      </c>
      <c r="AF27" s="43">
        <f>SUM(AF23:AF26)</f>
        <v>18</v>
      </c>
      <c r="AG27" s="63">
        <f>SUM(AG23:AG26)</f>
        <v>12</v>
      </c>
      <c r="AH27" s="63">
        <f>SUM(AH23:AH26)</f>
        <v>20</v>
      </c>
      <c r="AI27" s="63">
        <f>SUM(AI23:AI26)</f>
        <v>19</v>
      </c>
      <c r="AJ27" s="112">
        <f t="shared" ref="AJ27" si="57">SUM(AJ23:AJ26)</f>
        <v>74</v>
      </c>
      <c r="AK27" s="43">
        <f t="shared" ref="AK27:BU27" si="58">SUM(AK23:AK26)</f>
        <v>14</v>
      </c>
      <c r="AL27" s="43">
        <f t="shared" si="58"/>
        <v>16</v>
      </c>
      <c r="AM27" s="43">
        <f t="shared" si="58"/>
        <v>17</v>
      </c>
      <c r="AN27" s="43">
        <f t="shared" si="58"/>
        <v>18</v>
      </c>
      <c r="AO27" s="43">
        <f t="shared" si="58"/>
        <v>20</v>
      </c>
      <c r="AP27" s="112">
        <f t="shared" si="58"/>
        <v>80</v>
      </c>
      <c r="AQ27" s="43">
        <f t="shared" si="58"/>
        <v>14</v>
      </c>
      <c r="AR27" s="43">
        <f t="shared" si="58"/>
        <v>21</v>
      </c>
      <c r="AS27" s="43">
        <f t="shared" si="58"/>
        <v>17</v>
      </c>
      <c r="AT27" s="43">
        <f t="shared" si="58"/>
        <v>16</v>
      </c>
      <c r="AU27" s="112">
        <f t="shared" si="58"/>
        <v>73</v>
      </c>
      <c r="AV27" s="43">
        <f t="shared" si="58"/>
        <v>12</v>
      </c>
      <c r="AW27" s="43">
        <f t="shared" si="58"/>
        <v>14</v>
      </c>
      <c r="AX27" s="43">
        <f t="shared" si="58"/>
        <v>13</v>
      </c>
      <c r="AY27" s="43">
        <f t="shared" si="58"/>
        <v>11</v>
      </c>
      <c r="AZ27" s="112">
        <f t="shared" si="58"/>
        <v>51</v>
      </c>
      <c r="BA27" s="43">
        <f t="shared" si="58"/>
        <v>11</v>
      </c>
      <c r="BB27" s="43">
        <f t="shared" si="58"/>
        <v>18</v>
      </c>
      <c r="BC27" s="43">
        <f t="shared" si="58"/>
        <v>17</v>
      </c>
      <c r="BD27" s="43">
        <f t="shared" si="58"/>
        <v>17</v>
      </c>
      <c r="BE27" s="43">
        <f t="shared" si="58"/>
        <v>19</v>
      </c>
      <c r="BF27" s="112">
        <f t="shared" si="58"/>
        <v>77</v>
      </c>
      <c r="BG27" s="43">
        <f t="shared" si="58"/>
        <v>16</v>
      </c>
      <c r="BH27" s="43">
        <f t="shared" si="58"/>
        <v>16</v>
      </c>
      <c r="BI27" s="43">
        <f t="shared" si="58"/>
        <v>12</v>
      </c>
      <c r="BJ27" s="43">
        <f t="shared" si="58"/>
        <v>10</v>
      </c>
      <c r="BK27" s="112">
        <f t="shared" si="58"/>
        <v>56</v>
      </c>
      <c r="BL27" s="43">
        <f t="shared" si="58"/>
        <v>17</v>
      </c>
      <c r="BM27" s="43">
        <f t="shared" si="58"/>
        <v>21</v>
      </c>
      <c r="BN27" s="43">
        <f t="shared" si="58"/>
        <v>15</v>
      </c>
      <c r="BO27" s="43">
        <f t="shared" si="58"/>
        <v>14</v>
      </c>
      <c r="BP27" s="43">
        <f t="shared" si="58"/>
        <v>15</v>
      </c>
      <c r="BQ27" s="112">
        <f t="shared" si="58"/>
        <v>72</v>
      </c>
      <c r="BR27" s="43">
        <f t="shared" si="58"/>
        <v>12</v>
      </c>
      <c r="BS27" s="43">
        <f t="shared" si="58"/>
        <v>9</v>
      </c>
      <c r="BT27" s="43">
        <f t="shared" si="58"/>
        <v>21</v>
      </c>
      <c r="BU27" s="43">
        <f t="shared" si="58"/>
        <v>16</v>
      </c>
      <c r="BV27" s="104">
        <f t="shared" ref="BV27" si="59">+BV26+BV25+BV24+BV23</f>
        <v>63</v>
      </c>
      <c r="BW27" s="43">
        <f>SUM(BW23:BW26)</f>
        <v>20</v>
      </c>
      <c r="BX27" s="43">
        <f>SUM(BX23:BX26)</f>
        <v>21</v>
      </c>
      <c r="BY27" s="43">
        <f>SUM(BY23:BY26)</f>
        <v>12</v>
      </c>
      <c r="BZ27" s="43">
        <f>SUM(BZ23:BZ26)</f>
        <v>23</v>
      </c>
      <c r="CA27" s="104">
        <f t="shared" ref="CA27" si="60">+CA26+CA25+CA24+CA23</f>
        <v>76</v>
      </c>
      <c r="CB27" s="43">
        <f>SUM(CB23:CB26)</f>
        <v>16</v>
      </c>
      <c r="CC27" s="43">
        <f>SUM(CC23:CC26)</f>
        <v>6</v>
      </c>
      <c r="CD27" s="43">
        <f>SUM(CD23:CD26)</f>
        <v>19</v>
      </c>
      <c r="CE27" s="43">
        <f>SUM(CE23:CE26)</f>
        <v>14</v>
      </c>
      <c r="CF27" s="104">
        <f t="shared" ref="CF27" si="61">+CF26+CF25+CF24+CF23</f>
        <v>58</v>
      </c>
      <c r="CG27" s="43">
        <f>SUM(CG23:CG26)</f>
        <v>12</v>
      </c>
      <c r="CH27" s="43">
        <f>SUM(CH23:CH26)</f>
        <v>7</v>
      </c>
      <c r="CI27" s="43">
        <f>SUM(CI23:CI26)</f>
        <v>15</v>
      </c>
      <c r="CJ27" s="43">
        <f>SUM(CJ23:CJ26)</f>
        <v>17</v>
      </c>
      <c r="CK27" s="43">
        <f>SUM(CK23:CK26)</f>
        <v>14</v>
      </c>
      <c r="CL27" s="104">
        <f t="shared" ref="CL27" si="62">+CL26+CL25+CL24+CL23</f>
        <v>58</v>
      </c>
    </row>
    <row r="28" spans="1:98">
      <c r="A28" s="282"/>
      <c r="D28" s="9"/>
      <c r="E28" s="43"/>
      <c r="F28" s="43"/>
      <c r="G28" s="43"/>
      <c r="H28" s="63"/>
      <c r="I28" s="63"/>
      <c r="J28" s="71"/>
      <c r="K28" s="45"/>
      <c r="L28" s="45"/>
      <c r="M28" s="45"/>
      <c r="N28" s="63"/>
      <c r="O28" s="71"/>
      <c r="P28" s="142"/>
      <c r="Q28" s="142"/>
      <c r="R28" s="142"/>
      <c r="S28" s="142"/>
      <c r="T28" s="112"/>
      <c r="U28" s="142"/>
      <c r="V28" s="142"/>
      <c r="W28" s="142"/>
      <c r="X28" s="142"/>
      <c r="Y28" s="142"/>
      <c r="Z28" s="112"/>
      <c r="AA28" s="63"/>
      <c r="AB28" s="43"/>
      <c r="AC28" s="43"/>
      <c r="AD28" s="43"/>
      <c r="AE28" s="112"/>
      <c r="AF28" s="43"/>
      <c r="AG28" s="63"/>
      <c r="AH28" s="63"/>
      <c r="AI28" s="63"/>
      <c r="AJ28" s="112"/>
      <c r="AK28" s="43"/>
      <c r="AL28" s="63"/>
      <c r="AM28" s="63"/>
      <c r="AN28" s="63"/>
      <c r="AO28" s="63"/>
      <c r="AP28" s="112"/>
      <c r="AQ28" s="63"/>
      <c r="AR28" s="63"/>
      <c r="AS28" s="63"/>
      <c r="AT28" s="63"/>
      <c r="AU28" s="112"/>
      <c r="AV28" s="63"/>
      <c r="AW28" s="63"/>
      <c r="AX28" s="63"/>
      <c r="AY28" s="63"/>
      <c r="AZ28" s="112"/>
      <c r="BA28" s="63"/>
      <c r="BB28" s="63"/>
      <c r="BC28" s="63"/>
      <c r="BD28" s="63"/>
      <c r="BE28" s="63"/>
      <c r="BF28" s="112"/>
      <c r="BG28" s="63"/>
      <c r="BH28" s="63"/>
      <c r="BI28" s="63"/>
      <c r="BJ28" s="63"/>
      <c r="BK28" s="112"/>
      <c r="BL28" s="63"/>
      <c r="BM28" s="63"/>
      <c r="BN28" s="63"/>
      <c r="BO28" s="63"/>
      <c r="BP28" s="63"/>
      <c r="BQ28" s="104"/>
      <c r="BR28" s="63"/>
      <c r="BS28" s="63"/>
      <c r="BT28" s="63"/>
      <c r="BU28" s="63"/>
      <c r="BV28" s="104"/>
      <c r="BW28" s="63"/>
      <c r="BX28" s="63"/>
      <c r="BY28" s="63"/>
      <c r="BZ28" s="63"/>
      <c r="CA28" s="104"/>
      <c r="CB28" s="63"/>
      <c r="CC28" s="63"/>
      <c r="CD28" s="63"/>
      <c r="CE28" s="63"/>
      <c r="CF28" s="104"/>
      <c r="CG28" s="63"/>
      <c r="CH28" s="63"/>
      <c r="CI28" s="63"/>
      <c r="CJ28" s="63"/>
      <c r="CK28" s="63"/>
      <c r="CL28" s="104"/>
    </row>
    <row r="29" spans="1:98" s="11" customFormat="1">
      <c r="A29" s="281" t="s">
        <v>90</v>
      </c>
      <c r="C29" s="33" t="s">
        <v>82</v>
      </c>
      <c r="D29" s="11" t="s">
        <v>87</v>
      </c>
      <c r="E29" s="81"/>
      <c r="F29" s="41"/>
      <c r="G29" s="41"/>
      <c r="H29" s="41"/>
      <c r="I29" s="41"/>
      <c r="J29" s="68">
        <v>134</v>
      </c>
      <c r="K29" s="41"/>
      <c r="L29" s="41"/>
      <c r="M29" s="41"/>
      <c r="N29" s="41"/>
      <c r="O29" s="101">
        <v>136</v>
      </c>
      <c r="T29" s="101">
        <v>136</v>
      </c>
      <c r="Z29" s="208">
        <v>136</v>
      </c>
      <c r="AA29" s="41"/>
      <c r="AB29" s="41"/>
      <c r="AE29" s="101">
        <v>134</v>
      </c>
      <c r="AJ29" s="101">
        <v>159</v>
      </c>
      <c r="AP29" s="101"/>
      <c r="AU29" s="101"/>
      <c r="AZ29" s="101"/>
      <c r="BF29" s="101"/>
      <c r="BK29" s="101"/>
      <c r="BQ29" s="101"/>
      <c r="BV29" s="101"/>
      <c r="CA29" s="101"/>
      <c r="CD29" s="41"/>
      <c r="CE29" s="41"/>
      <c r="CF29" s="101"/>
      <c r="CG29" s="41"/>
      <c r="CH29" s="41"/>
      <c r="CI29" s="41"/>
      <c r="CJ29" s="41"/>
      <c r="CK29" s="41"/>
      <c r="CL29" s="101"/>
    </row>
    <row r="30" spans="1:98">
      <c r="A30" s="283"/>
      <c r="B30" t="s">
        <v>72</v>
      </c>
      <c r="C30" s="35"/>
      <c r="D30" t="s">
        <v>67</v>
      </c>
      <c r="E30" s="85">
        <v>54</v>
      </c>
      <c r="F30" s="72">
        <v>39</v>
      </c>
      <c r="G30" s="72">
        <v>61</v>
      </c>
      <c r="H30" s="72">
        <v>40</v>
      </c>
      <c r="I30" s="72">
        <v>52</v>
      </c>
      <c r="J30" s="73">
        <v>48</v>
      </c>
      <c r="K30" s="65">
        <v>14</v>
      </c>
      <c r="L30" s="65">
        <v>10</v>
      </c>
      <c r="M30" s="65">
        <v>12</v>
      </c>
      <c r="N30" s="65">
        <v>12</v>
      </c>
      <c r="O30" s="105">
        <v>47</v>
      </c>
      <c r="P30" s="143">
        <v>13</v>
      </c>
      <c r="Q30" s="143">
        <v>11</v>
      </c>
      <c r="R30" s="143">
        <v>8</v>
      </c>
      <c r="S30" s="143">
        <v>13</v>
      </c>
      <c r="T30" s="105">
        <v>49</v>
      </c>
      <c r="U30" s="143">
        <v>8</v>
      </c>
      <c r="V30" s="29">
        <v>15</v>
      </c>
      <c r="W30" s="29">
        <v>12</v>
      </c>
      <c r="X30" s="29">
        <v>7</v>
      </c>
      <c r="Y30" s="29">
        <v>14</v>
      </c>
      <c r="Z30" s="105">
        <v>49</v>
      </c>
      <c r="AA30" s="40">
        <v>17</v>
      </c>
      <c r="AB30" s="40">
        <v>10</v>
      </c>
      <c r="AC30" s="40">
        <v>7</v>
      </c>
      <c r="AD30" s="40">
        <v>10</v>
      </c>
      <c r="AE30" s="105">
        <v>45</v>
      </c>
      <c r="AF30" s="40">
        <v>5</v>
      </c>
      <c r="AG30" s="45">
        <v>8</v>
      </c>
      <c r="AH30" s="45">
        <v>9</v>
      </c>
      <c r="AI30" s="45">
        <v>8</v>
      </c>
      <c r="AJ30" s="105">
        <v>30</v>
      </c>
      <c r="AK30" s="40">
        <v>6</v>
      </c>
      <c r="AL30" s="40">
        <v>10</v>
      </c>
      <c r="AM30" s="40">
        <v>4</v>
      </c>
      <c r="AN30" s="40">
        <v>8</v>
      </c>
      <c r="AO30" s="40">
        <v>3</v>
      </c>
      <c r="AP30" s="105">
        <v>28</v>
      </c>
      <c r="AQ30" s="40">
        <v>7</v>
      </c>
      <c r="AR30" s="40">
        <v>5</v>
      </c>
      <c r="AS30" s="40">
        <v>5</v>
      </c>
      <c r="AT30" s="40">
        <v>5</v>
      </c>
      <c r="AU30" s="105">
        <v>23</v>
      </c>
      <c r="AV30" s="40">
        <v>8</v>
      </c>
      <c r="AW30" s="40">
        <v>6</v>
      </c>
      <c r="AX30" s="40">
        <v>4</v>
      </c>
      <c r="AY30" s="40">
        <v>4</v>
      </c>
      <c r="AZ30" s="105">
        <v>23</v>
      </c>
      <c r="BA30" s="40">
        <v>2</v>
      </c>
      <c r="BB30" s="40">
        <v>2</v>
      </c>
      <c r="BC30" s="40">
        <v>3</v>
      </c>
      <c r="BD30" s="40">
        <v>4</v>
      </c>
      <c r="BE30" s="40">
        <v>3</v>
      </c>
      <c r="BF30" s="105">
        <v>14</v>
      </c>
      <c r="BG30" s="40">
        <v>8</v>
      </c>
      <c r="BH30" s="40">
        <v>2</v>
      </c>
      <c r="BI30" s="40">
        <v>8</v>
      </c>
      <c r="BJ30" s="40">
        <v>4</v>
      </c>
      <c r="BK30" s="105">
        <v>23</v>
      </c>
      <c r="BL30" s="40">
        <v>6</v>
      </c>
      <c r="BM30" s="40">
        <v>8</v>
      </c>
      <c r="BN30" s="40">
        <v>4</v>
      </c>
      <c r="BO30" s="40">
        <v>9</v>
      </c>
      <c r="BP30" s="40">
        <v>8</v>
      </c>
      <c r="BQ30" s="105">
        <v>32</v>
      </c>
      <c r="BR30" s="40">
        <v>9</v>
      </c>
      <c r="BS30" s="40">
        <v>9</v>
      </c>
      <c r="BT30" s="40">
        <v>9</v>
      </c>
      <c r="BU30" s="40">
        <v>8</v>
      </c>
      <c r="BV30" s="105">
        <v>37</v>
      </c>
      <c r="BW30" s="40">
        <v>9</v>
      </c>
      <c r="BX30" s="40">
        <v>8</v>
      </c>
      <c r="BY30" s="40">
        <v>10</v>
      </c>
      <c r="BZ30" s="40">
        <v>7</v>
      </c>
      <c r="CA30" s="105">
        <v>33</v>
      </c>
      <c r="CB30" s="40">
        <v>9</v>
      </c>
      <c r="CC30" s="40">
        <v>6</v>
      </c>
      <c r="CD30" s="40">
        <v>11</v>
      </c>
      <c r="CE30" s="40">
        <v>7</v>
      </c>
      <c r="CF30" s="105">
        <v>37</v>
      </c>
      <c r="CG30" s="40">
        <v>11</v>
      </c>
      <c r="CH30" s="40">
        <v>7</v>
      </c>
      <c r="CI30" s="40">
        <v>3</v>
      </c>
      <c r="CJ30" s="40">
        <v>4</v>
      </c>
      <c r="CK30" s="40">
        <v>6</v>
      </c>
      <c r="CL30" s="105">
        <v>26</v>
      </c>
    </row>
    <row r="31" spans="1:98">
      <c r="B31" t="s">
        <v>72</v>
      </c>
      <c r="C31" s="35"/>
      <c r="D31" t="s">
        <v>68</v>
      </c>
      <c r="E31" s="85">
        <v>47</v>
      </c>
      <c r="F31" s="72">
        <v>43</v>
      </c>
      <c r="G31" s="72">
        <v>52</v>
      </c>
      <c r="H31" s="72">
        <v>43</v>
      </c>
      <c r="I31" s="72">
        <v>49</v>
      </c>
      <c r="J31" s="73">
        <v>25</v>
      </c>
      <c r="K31" s="65">
        <v>9</v>
      </c>
      <c r="L31" s="65">
        <v>8</v>
      </c>
      <c r="M31" s="65">
        <v>6</v>
      </c>
      <c r="N31" s="65">
        <v>5</v>
      </c>
      <c r="O31" s="105">
        <v>30</v>
      </c>
      <c r="P31" s="143">
        <v>7</v>
      </c>
      <c r="Q31" s="143">
        <v>9</v>
      </c>
      <c r="R31" s="143">
        <v>6</v>
      </c>
      <c r="S31" s="143">
        <v>9</v>
      </c>
      <c r="T31" s="105">
        <v>34</v>
      </c>
      <c r="U31" s="143">
        <v>7</v>
      </c>
      <c r="V31" s="29">
        <v>17</v>
      </c>
      <c r="W31" s="29">
        <v>3</v>
      </c>
      <c r="X31" s="29">
        <v>10</v>
      </c>
      <c r="Y31" s="29">
        <v>4</v>
      </c>
      <c r="Z31" s="105">
        <v>34</v>
      </c>
      <c r="AA31" s="40">
        <v>5</v>
      </c>
      <c r="AB31" s="40">
        <v>9</v>
      </c>
      <c r="AC31" s="40">
        <v>10</v>
      </c>
      <c r="AD31" s="40">
        <v>10</v>
      </c>
      <c r="AE31" s="105">
        <v>38</v>
      </c>
      <c r="AF31" s="40">
        <v>20</v>
      </c>
      <c r="AG31" s="45">
        <v>12</v>
      </c>
      <c r="AH31" s="45">
        <v>14</v>
      </c>
      <c r="AI31" s="45">
        <v>13</v>
      </c>
      <c r="AJ31" s="105">
        <v>59</v>
      </c>
      <c r="AK31" s="40">
        <v>10</v>
      </c>
      <c r="AL31" s="40">
        <v>14</v>
      </c>
      <c r="AM31" s="40">
        <v>14</v>
      </c>
      <c r="AN31" s="40">
        <v>18</v>
      </c>
      <c r="AO31" s="40">
        <v>19</v>
      </c>
      <c r="AP31" s="105">
        <v>69</v>
      </c>
      <c r="AQ31" s="40">
        <v>21</v>
      </c>
      <c r="AR31" s="40">
        <v>13</v>
      </c>
      <c r="AS31" s="40">
        <v>16</v>
      </c>
      <c r="AT31" s="40">
        <v>20</v>
      </c>
      <c r="AU31" s="105">
        <v>73</v>
      </c>
      <c r="AV31" s="40">
        <v>9</v>
      </c>
      <c r="AW31" s="40">
        <v>15</v>
      </c>
      <c r="AX31" s="40">
        <v>14</v>
      </c>
      <c r="AY31" s="40">
        <v>16</v>
      </c>
      <c r="AZ31" s="105">
        <v>58</v>
      </c>
      <c r="BA31" s="40">
        <v>19</v>
      </c>
      <c r="BB31" s="40">
        <v>13</v>
      </c>
      <c r="BC31" s="40">
        <v>17</v>
      </c>
      <c r="BD31" s="40">
        <v>16</v>
      </c>
      <c r="BE31" s="40">
        <v>15</v>
      </c>
      <c r="BF31" s="105">
        <v>74</v>
      </c>
      <c r="BG31" s="40">
        <v>14</v>
      </c>
      <c r="BH31" s="40">
        <v>16</v>
      </c>
      <c r="BI31" s="40">
        <v>16</v>
      </c>
      <c r="BJ31" s="40">
        <v>12</v>
      </c>
      <c r="BK31" s="105">
        <v>61</v>
      </c>
      <c r="BL31" s="40">
        <v>12</v>
      </c>
      <c r="BM31" s="40">
        <v>4</v>
      </c>
      <c r="BN31" s="40">
        <v>10</v>
      </c>
      <c r="BO31" s="40">
        <v>11</v>
      </c>
      <c r="BP31" s="40">
        <v>2</v>
      </c>
      <c r="BQ31" s="105">
        <v>37</v>
      </c>
      <c r="BR31" s="40">
        <v>7</v>
      </c>
      <c r="BS31" s="40">
        <v>12</v>
      </c>
      <c r="BT31" s="40">
        <v>11</v>
      </c>
      <c r="BU31" s="40">
        <v>8</v>
      </c>
      <c r="BV31" s="105">
        <v>40</v>
      </c>
      <c r="BW31" s="40">
        <v>4</v>
      </c>
      <c r="BX31" s="40">
        <v>5</v>
      </c>
      <c r="BY31" s="40">
        <v>6</v>
      </c>
      <c r="BZ31" s="40">
        <v>5</v>
      </c>
      <c r="CA31" s="105">
        <v>20</v>
      </c>
      <c r="CB31" s="40">
        <v>1</v>
      </c>
      <c r="CC31" s="40">
        <v>9</v>
      </c>
      <c r="CD31" s="40">
        <v>12</v>
      </c>
      <c r="CE31" s="40">
        <v>10</v>
      </c>
      <c r="CF31" s="105">
        <v>35</v>
      </c>
      <c r="CG31" s="40">
        <v>5</v>
      </c>
      <c r="CH31" s="40">
        <v>13</v>
      </c>
      <c r="CI31" s="40">
        <v>8</v>
      </c>
      <c r="CJ31" s="40">
        <v>12</v>
      </c>
      <c r="CK31" s="40">
        <v>8</v>
      </c>
      <c r="CL31" s="105">
        <v>42</v>
      </c>
    </row>
    <row r="32" spans="1:98" s="11" customFormat="1">
      <c r="A32" s="281" t="s">
        <v>91</v>
      </c>
      <c r="B32" s="10"/>
      <c r="C32" s="33" t="s">
        <v>2</v>
      </c>
      <c r="E32" s="81"/>
      <c r="F32" s="41"/>
      <c r="G32" s="41"/>
      <c r="H32" s="41"/>
      <c r="I32" s="41"/>
      <c r="J32" s="68"/>
      <c r="K32" s="41"/>
      <c r="L32" s="41"/>
      <c r="M32" s="41"/>
      <c r="N32" s="41"/>
      <c r="O32" s="101"/>
      <c r="T32" s="101"/>
      <c r="Z32" s="110"/>
      <c r="AA32" s="41"/>
      <c r="AB32" s="41"/>
      <c r="AE32" s="101"/>
      <c r="AF32" s="41"/>
      <c r="AG32" s="41"/>
      <c r="AH32" s="41"/>
      <c r="AI32" s="41"/>
      <c r="AJ32" s="101"/>
      <c r="AK32" s="41"/>
      <c r="AL32" s="41"/>
      <c r="AM32" s="41"/>
      <c r="AN32" s="41"/>
      <c r="AO32" s="41"/>
      <c r="AP32" s="101"/>
      <c r="AQ32" s="41"/>
      <c r="AR32" s="41"/>
      <c r="AS32" s="41"/>
      <c r="AT32" s="41"/>
      <c r="AU32" s="101"/>
      <c r="AV32" s="41"/>
      <c r="AW32" s="41"/>
      <c r="AX32" s="41"/>
      <c r="AY32" s="41"/>
      <c r="AZ32" s="101"/>
      <c r="BA32" s="41"/>
      <c r="BB32" s="41"/>
      <c r="BC32" s="41"/>
      <c r="BD32" s="41"/>
      <c r="BE32" s="41"/>
      <c r="BF32" s="101"/>
      <c r="BG32" s="41"/>
      <c r="BH32" s="41"/>
      <c r="BI32" s="41"/>
      <c r="BJ32" s="41"/>
      <c r="BK32" s="101"/>
      <c r="BL32" s="41"/>
      <c r="BM32" s="41"/>
      <c r="BN32" s="41"/>
      <c r="BO32" s="41"/>
      <c r="BP32" s="41"/>
      <c r="BQ32" s="101"/>
      <c r="BR32" s="41"/>
      <c r="BS32" s="41"/>
      <c r="BT32" s="41"/>
      <c r="BU32" s="41"/>
      <c r="BV32" s="101"/>
      <c r="BW32" s="41"/>
      <c r="BX32" s="41"/>
      <c r="BY32" s="41"/>
      <c r="BZ32" s="41"/>
      <c r="CA32" s="101"/>
      <c r="CB32" s="41"/>
      <c r="CC32" s="41"/>
      <c r="CD32" s="41"/>
      <c r="CE32" s="41"/>
      <c r="CF32" s="101"/>
      <c r="CG32" s="41"/>
      <c r="CH32" s="41"/>
      <c r="CI32" s="41"/>
      <c r="CJ32" s="41"/>
      <c r="CK32" s="41"/>
      <c r="CL32" s="101"/>
    </row>
    <row r="33" spans="1:90" s="39" customFormat="1">
      <c r="A33" s="323"/>
      <c r="B33" s="2" t="s">
        <v>92</v>
      </c>
      <c r="C33" s="324">
        <v>0.1</v>
      </c>
      <c r="D33" s="39" t="s">
        <v>93</v>
      </c>
      <c r="E33" s="325">
        <f t="shared" ref="E33:I34" si="63">+E30/E7</f>
        <v>0.3776223776223776</v>
      </c>
      <c r="F33" s="326">
        <f t="shared" si="63"/>
        <v>0.26174496644295303</v>
      </c>
      <c r="G33" s="326">
        <f t="shared" si="63"/>
        <v>0.4206896551724138</v>
      </c>
      <c r="H33" s="326">
        <f t="shared" si="63"/>
        <v>0.25974025974025972</v>
      </c>
      <c r="I33" s="326">
        <f t="shared" si="63"/>
        <v>0.33121019108280253</v>
      </c>
      <c r="J33" s="327">
        <v>0.52900000000000003</v>
      </c>
      <c r="K33" s="328">
        <f>13/K7</f>
        <v>8.4967320261437912E-2</v>
      </c>
      <c r="L33" s="328">
        <f>14/L7</f>
        <v>9.2105263157894732E-2</v>
      </c>
      <c r="M33" s="328">
        <f>10/M7</f>
        <v>6.7114093959731544E-2</v>
      </c>
      <c r="N33" s="328">
        <f>12/N7</f>
        <v>0.08</v>
      </c>
      <c r="O33" s="329">
        <v>0.58799999999999997</v>
      </c>
      <c r="P33" s="330">
        <f t="shared" ref="P33:S34" si="64">P30/P7</f>
        <v>8.666666666666667E-2</v>
      </c>
      <c r="Q33" s="330">
        <f t="shared" si="64"/>
        <v>7.1895424836601302E-2</v>
      </c>
      <c r="R33" s="330">
        <f t="shared" si="64"/>
        <v>5.128205128205128E-2</v>
      </c>
      <c r="S33" s="330">
        <f t="shared" si="64"/>
        <v>8.0246913580246909E-2</v>
      </c>
      <c r="T33" s="329">
        <v>0.49399999999999999</v>
      </c>
      <c r="U33" s="330">
        <f>U30/U7</f>
        <v>5.128205128205128E-2</v>
      </c>
      <c r="V33" s="330">
        <f t="shared" ref="V33:X34" si="65">V30/V8</f>
        <v>0.11278195488721804</v>
      </c>
      <c r="W33" s="330">
        <f t="shared" si="65"/>
        <v>8.2191780821917804E-2</v>
      </c>
      <c r="X33" s="330">
        <f t="shared" si="65"/>
        <v>4.4585987261146494E-2</v>
      </c>
      <c r="Y33" s="330">
        <f t="shared" ref="Y33" si="66">Y30/Y8</f>
        <v>7.9545454545454544E-2</v>
      </c>
      <c r="Z33" s="329">
        <v>0.97399999999999998</v>
      </c>
      <c r="AA33" s="328">
        <f>AA30/AA7</f>
        <v>0.15454545454545454</v>
      </c>
      <c r="AB33" s="328">
        <f t="shared" ref="AB33:AD33" si="67">AB30/AB7</f>
        <v>9.8039215686274508E-2</v>
      </c>
      <c r="AC33" s="328">
        <f t="shared" si="67"/>
        <v>7.3684210526315783E-2</v>
      </c>
      <c r="AD33" s="328">
        <f t="shared" si="67"/>
        <v>0.11363636363636363</v>
      </c>
      <c r="AE33" s="329">
        <v>1</v>
      </c>
      <c r="AF33" s="328">
        <f t="shared" ref="AF33:AI34" si="68">AF30/AF7</f>
        <v>6.0240963855421686E-2</v>
      </c>
      <c r="AG33" s="328">
        <f t="shared" si="68"/>
        <v>0.1038961038961039</v>
      </c>
      <c r="AH33" s="328">
        <f t="shared" si="68"/>
        <v>0.12676056338028169</v>
      </c>
      <c r="AI33" s="328">
        <f t="shared" si="68"/>
        <v>0.11594202898550725</v>
      </c>
      <c r="AJ33" s="329">
        <v>1</v>
      </c>
      <c r="AK33" s="328">
        <f t="shared" ref="AK33:AO34" si="69">AK30/AK7</f>
        <v>9.2307692307692313E-2</v>
      </c>
      <c r="AL33" s="328">
        <f t="shared" si="69"/>
        <v>0.15625</v>
      </c>
      <c r="AM33" s="328">
        <f t="shared" si="69"/>
        <v>6.3492063492063489E-2</v>
      </c>
      <c r="AN33" s="328">
        <f t="shared" si="69"/>
        <v>0.13114754098360656</v>
      </c>
      <c r="AO33" s="328">
        <f t="shared" si="69"/>
        <v>5.1724137931034482E-2</v>
      </c>
      <c r="AP33" s="329">
        <v>0.92900000000000005</v>
      </c>
      <c r="AQ33" s="328">
        <f t="shared" ref="AQ33:AT34" si="70">AQ30/AQ7</f>
        <v>0.12727272727272726</v>
      </c>
      <c r="AR33" s="328">
        <f t="shared" si="70"/>
        <v>9.4339622641509441E-2</v>
      </c>
      <c r="AS33" s="328">
        <f t="shared" si="70"/>
        <v>9.4339622641509441E-2</v>
      </c>
      <c r="AT33" s="328">
        <f t="shared" si="70"/>
        <v>9.6153846153846159E-2</v>
      </c>
      <c r="AU33" s="329">
        <v>0.9</v>
      </c>
      <c r="AV33" s="328">
        <f t="shared" ref="AV33:AY34" si="71">AV30/AV7</f>
        <v>0.15094339622641509</v>
      </c>
      <c r="AW33" s="328">
        <f t="shared" si="71"/>
        <v>0.11764705882352941</v>
      </c>
      <c r="AX33" s="328">
        <f t="shared" si="71"/>
        <v>8.3333333333333329E-2</v>
      </c>
      <c r="AY33" s="328">
        <f t="shared" si="71"/>
        <v>8.3333333333333329E-2</v>
      </c>
      <c r="AZ33" s="329">
        <v>0.60599999999999998</v>
      </c>
      <c r="BA33" s="328">
        <f t="shared" ref="BA33:BE34" si="72">BA30/BA7</f>
        <v>3.5087719298245612E-2</v>
      </c>
      <c r="BB33" s="328">
        <f t="shared" si="72"/>
        <v>2.7777777777777776E-2</v>
      </c>
      <c r="BC33" s="328">
        <f t="shared" si="72"/>
        <v>3.614457831325301E-2</v>
      </c>
      <c r="BD33" s="328">
        <f t="shared" si="72"/>
        <v>4.3478260869565216E-2</v>
      </c>
      <c r="BE33" s="328">
        <f t="shared" si="72"/>
        <v>2.8037383177570093E-2</v>
      </c>
      <c r="BF33" s="329">
        <v>0.14000000000000001</v>
      </c>
      <c r="BG33" s="328">
        <f t="shared" ref="BG33:BJ34" si="73">BG30/BG7</f>
        <v>6.7796610169491525E-2</v>
      </c>
      <c r="BH33" s="328">
        <f t="shared" si="73"/>
        <v>1.4705882352941176E-2</v>
      </c>
      <c r="BI33" s="328">
        <f t="shared" si="73"/>
        <v>5.4054054054054057E-2</v>
      </c>
      <c r="BJ33" s="328">
        <f t="shared" si="73"/>
        <v>2.5806451612903226E-2</v>
      </c>
      <c r="BK33" s="329">
        <v>0.19600000000000001</v>
      </c>
      <c r="BL33" s="328">
        <f>(BL30+BL31)/BL9</f>
        <v>6.25E-2</v>
      </c>
      <c r="BM33" s="328">
        <f t="shared" ref="BM33:BP33" si="74">(BM30+BM31)/BM9</f>
        <v>4.3010752688172046E-2</v>
      </c>
      <c r="BN33" s="328">
        <f t="shared" si="74"/>
        <v>5.185185185185185E-2</v>
      </c>
      <c r="BO33" s="328">
        <f t="shared" si="74"/>
        <v>7.662835249042145E-2</v>
      </c>
      <c r="BP33" s="328">
        <f t="shared" si="74"/>
        <v>4.0322580645161289E-2</v>
      </c>
      <c r="BQ33" s="332">
        <v>0.47799999999999998</v>
      </c>
      <c r="BR33" s="328">
        <f>(BR30+BR31)/BR9</f>
        <v>6.7510548523206745E-2</v>
      </c>
      <c r="BS33" s="328">
        <f t="shared" ref="BS33:BU33" si="75">(BS30+BS31)/BS9</f>
        <v>9.012875536480687E-2</v>
      </c>
      <c r="BT33" s="328">
        <f t="shared" si="75"/>
        <v>8.6206896551724144E-2</v>
      </c>
      <c r="BU33" s="328">
        <f t="shared" si="75"/>
        <v>6.7510548523206745E-2</v>
      </c>
      <c r="BV33" s="332">
        <v>0.45300000000000001</v>
      </c>
      <c r="BW33" s="328">
        <f>(BW30+BW31)/BW9</f>
        <v>5.2845528455284556E-2</v>
      </c>
      <c r="BX33" s="328">
        <f t="shared" ref="BX33:BZ33" si="76">(BX30+BX31)/BX9</f>
        <v>5.1999999999999998E-2</v>
      </c>
      <c r="BY33" s="328">
        <f t="shared" si="76"/>
        <v>6.2992125984251968E-2</v>
      </c>
      <c r="BZ33" s="328">
        <f t="shared" si="76"/>
        <v>4.6692607003891051E-2</v>
      </c>
      <c r="CA33" s="332">
        <v>0.376</v>
      </c>
      <c r="CB33" s="328">
        <f>(CB30+CB31)/CB9</f>
        <v>3.9215686274509803E-2</v>
      </c>
      <c r="CC33" s="328">
        <f t="shared" ref="CC33:CE33" si="77">(CC30+CC31)/CC9</f>
        <v>5.8365758754863814E-2</v>
      </c>
      <c r="CD33" s="328">
        <f t="shared" si="77"/>
        <v>8.984375E-2</v>
      </c>
      <c r="CE33" s="328">
        <f t="shared" si="77"/>
        <v>6.8548387096774188E-2</v>
      </c>
      <c r="CF33" s="332">
        <v>0.45200000000000001</v>
      </c>
      <c r="CG33" s="328">
        <f>(CG30+CG31)/CG9</f>
        <v>6.5306122448979598E-2</v>
      </c>
      <c r="CH33" s="328">
        <f t="shared" ref="CH33:CJ33" si="78">(CH30+CH31)/CH9</f>
        <v>8.2987551867219914E-2</v>
      </c>
      <c r="CI33" s="328">
        <f t="shared" si="78"/>
        <v>4.6218487394957986E-2</v>
      </c>
      <c r="CJ33" s="328">
        <f t="shared" si="78"/>
        <v>6.7226890756302518E-2</v>
      </c>
      <c r="CK33" s="328">
        <f t="shared" ref="CK33" si="79">(CK30+CK31)/CK9</f>
        <v>5.6000000000000001E-2</v>
      </c>
      <c r="CL33" s="332">
        <v>0.44700000000000001</v>
      </c>
    </row>
    <row r="34" spans="1:90" s="39" customFormat="1">
      <c r="A34" s="322"/>
      <c r="B34" s="331" t="s">
        <v>92</v>
      </c>
      <c r="C34" s="324">
        <v>0.1</v>
      </c>
      <c r="D34" s="39" t="s">
        <v>68</v>
      </c>
      <c r="E34" s="325">
        <f t="shared" si="63"/>
        <v>0.376</v>
      </c>
      <c r="F34" s="326">
        <f t="shared" si="63"/>
        <v>0.32330827067669171</v>
      </c>
      <c r="G34" s="326">
        <f t="shared" si="63"/>
        <v>0.39097744360902253</v>
      </c>
      <c r="H34" s="326">
        <f t="shared" si="63"/>
        <v>0.31851851851851853</v>
      </c>
      <c r="I34" s="326">
        <f t="shared" si="63"/>
        <v>0.40163934426229508</v>
      </c>
      <c r="J34" s="327">
        <v>0.36199999999999999</v>
      </c>
      <c r="K34" s="328">
        <f>4/K8</f>
        <v>3.5398230088495575E-2</v>
      </c>
      <c r="L34" s="328">
        <f>9/L8</f>
        <v>8.0357142857142863E-2</v>
      </c>
      <c r="M34" s="328">
        <f>8/M8</f>
        <v>7.0796460176991149E-2</v>
      </c>
      <c r="N34" s="328">
        <f>6/N8</f>
        <v>5.2173913043478258E-2</v>
      </c>
      <c r="O34" s="329">
        <v>0.40300000000000002</v>
      </c>
      <c r="P34" s="330">
        <f t="shared" si="64"/>
        <v>6.25E-2</v>
      </c>
      <c r="Q34" s="330">
        <f t="shared" si="64"/>
        <v>7.8260869565217397E-2</v>
      </c>
      <c r="R34" s="330">
        <f t="shared" si="64"/>
        <v>5.0847457627118647E-2</v>
      </c>
      <c r="S34" s="330">
        <f t="shared" si="64"/>
        <v>7.8260869565217397E-2</v>
      </c>
      <c r="T34" s="329">
        <v>0.52300000000000002</v>
      </c>
      <c r="U34" s="330">
        <f>U31/U8</f>
        <v>5.737704918032787E-2</v>
      </c>
      <c r="V34" s="330">
        <f t="shared" si="65"/>
        <v>6.1151079136690649E-2</v>
      </c>
      <c r="W34" s="330">
        <f t="shared" si="65"/>
        <v>1.0600706713780919E-2</v>
      </c>
      <c r="X34" s="330">
        <f t="shared" si="65"/>
        <v>3.484320557491289E-2</v>
      </c>
      <c r="Y34" s="330">
        <f t="shared" ref="Y34" si="80">Y31/Y9</f>
        <v>1.3422818791946308E-2</v>
      </c>
      <c r="Z34" s="329">
        <v>0.24099999999999999</v>
      </c>
      <c r="AA34" s="328">
        <f>AA31/AA8</f>
        <v>2.7472527472527472E-2</v>
      </c>
      <c r="AB34" s="328">
        <f t="shared" ref="AB34:AD34" si="81">AB31/AB8</f>
        <v>4.736842105263158E-2</v>
      </c>
      <c r="AC34" s="328">
        <f t="shared" si="81"/>
        <v>5.1546391752577317E-2</v>
      </c>
      <c r="AD34" s="328">
        <f t="shared" si="81"/>
        <v>5.0505050505050504E-2</v>
      </c>
      <c r="AE34" s="329">
        <v>0.31900000000000001</v>
      </c>
      <c r="AF34" s="328">
        <f t="shared" si="68"/>
        <v>0.10309278350515463</v>
      </c>
      <c r="AG34" s="328">
        <f t="shared" si="68"/>
        <v>6.3157894736842107E-2</v>
      </c>
      <c r="AH34" s="328">
        <f t="shared" si="68"/>
        <v>7.2916666666666671E-2</v>
      </c>
      <c r="AI34" s="328">
        <f t="shared" si="68"/>
        <v>6.5000000000000002E-2</v>
      </c>
      <c r="AJ34" s="329">
        <v>0.44700000000000001</v>
      </c>
      <c r="AK34" s="328">
        <f t="shared" si="69"/>
        <v>4.6728971962616821E-2</v>
      </c>
      <c r="AL34" s="328">
        <f t="shared" si="69"/>
        <v>6.5116279069767441E-2</v>
      </c>
      <c r="AM34" s="328">
        <f t="shared" si="69"/>
        <v>6.3063063063063057E-2</v>
      </c>
      <c r="AN34" s="328">
        <f t="shared" si="69"/>
        <v>7.9646017699115043E-2</v>
      </c>
      <c r="AO34" s="328">
        <f t="shared" si="69"/>
        <v>8.2608695652173908E-2</v>
      </c>
      <c r="AP34" s="329">
        <v>0.51900000000000002</v>
      </c>
      <c r="AQ34" s="328">
        <f t="shared" si="70"/>
        <v>8.8983050847457626E-2</v>
      </c>
      <c r="AR34" s="328">
        <f t="shared" si="70"/>
        <v>5.5319148936170209E-2</v>
      </c>
      <c r="AS34" s="328">
        <f t="shared" si="70"/>
        <v>6.9868995633187769E-2</v>
      </c>
      <c r="AT34" s="328">
        <f t="shared" si="70"/>
        <v>9.0090090090090086E-2</v>
      </c>
      <c r="AU34" s="329">
        <v>0.55200000000000005</v>
      </c>
      <c r="AV34" s="328">
        <f t="shared" si="71"/>
        <v>4.1474654377880185E-2</v>
      </c>
      <c r="AW34" s="328">
        <f t="shared" si="71"/>
        <v>6.8493150684931503E-2</v>
      </c>
      <c r="AX34" s="328">
        <f t="shared" si="71"/>
        <v>6.2780269058295965E-2</v>
      </c>
      <c r="AY34" s="328">
        <f t="shared" si="71"/>
        <v>7.3732718894009217E-2</v>
      </c>
      <c r="AZ34" s="329">
        <v>0.51400000000000001</v>
      </c>
      <c r="BA34" s="328">
        <f t="shared" si="72"/>
        <v>9.2233009708737865E-2</v>
      </c>
      <c r="BB34" s="328">
        <f t="shared" si="72"/>
        <v>6.9518716577540107E-2</v>
      </c>
      <c r="BC34" s="328">
        <f t="shared" si="72"/>
        <v>9.7142857142857142E-2</v>
      </c>
      <c r="BD34" s="328">
        <f t="shared" si="72"/>
        <v>9.4117647058823528E-2</v>
      </c>
      <c r="BE34" s="328">
        <f t="shared" si="72"/>
        <v>9.3167701863354033E-2</v>
      </c>
      <c r="BF34" s="329">
        <v>0.83</v>
      </c>
      <c r="BG34" s="328">
        <f t="shared" si="73"/>
        <v>9.0322580645161285E-2</v>
      </c>
      <c r="BH34" s="328">
        <f t="shared" si="73"/>
        <v>0.1095890410958904</v>
      </c>
      <c r="BI34" s="328">
        <f t="shared" si="73"/>
        <v>0.11428571428571428</v>
      </c>
      <c r="BJ34" s="328">
        <f t="shared" si="73"/>
        <v>9.0909090909090912E-2</v>
      </c>
      <c r="BK34" s="329">
        <v>0.93799999999999994</v>
      </c>
      <c r="BL34" s="328"/>
      <c r="BM34" s="328"/>
      <c r="BN34" s="328"/>
      <c r="BO34" s="328"/>
      <c r="BP34" s="328"/>
      <c r="BQ34" s="332"/>
      <c r="BR34" s="328"/>
      <c r="BS34" s="328"/>
      <c r="BT34" s="328"/>
      <c r="BU34" s="328"/>
      <c r="BV34" s="332"/>
      <c r="BW34" s="328"/>
      <c r="BX34" s="328"/>
      <c r="BY34" s="328"/>
      <c r="BZ34" s="328"/>
      <c r="CA34" s="332"/>
      <c r="CB34" s="328"/>
      <c r="CC34" s="328"/>
      <c r="CD34" s="328"/>
      <c r="CE34" s="328"/>
      <c r="CF34" s="332"/>
      <c r="CG34" s="328"/>
      <c r="CH34" s="328"/>
      <c r="CI34" s="328"/>
      <c r="CJ34" s="328"/>
      <c r="CK34" s="328"/>
      <c r="CL34" s="332"/>
    </row>
    <row r="35" spans="1:90" s="11" customFormat="1">
      <c r="A35" s="281" t="s">
        <v>94</v>
      </c>
      <c r="B35" s="10"/>
      <c r="C35" s="33" t="s">
        <v>2</v>
      </c>
      <c r="E35" s="81"/>
      <c r="F35" s="41"/>
      <c r="G35" s="41"/>
      <c r="H35" s="41"/>
      <c r="I35" s="41"/>
      <c r="J35" s="68"/>
      <c r="K35" s="41"/>
      <c r="L35" s="41"/>
      <c r="M35" s="41"/>
      <c r="N35" s="41"/>
      <c r="O35" s="101"/>
      <c r="T35" s="101"/>
      <c r="Z35" s="110"/>
      <c r="AA35" s="41"/>
      <c r="AB35" s="41"/>
      <c r="AE35" s="101"/>
      <c r="AF35" s="41"/>
      <c r="AJ35" s="101"/>
      <c r="AK35" s="41"/>
      <c r="AP35" s="101"/>
      <c r="AU35" s="101"/>
      <c r="AZ35" s="101"/>
      <c r="BF35" s="101"/>
      <c r="BK35" s="101"/>
      <c r="BQ35" s="101"/>
      <c r="BV35" s="101"/>
      <c r="CA35" s="101"/>
      <c r="CD35" s="41"/>
      <c r="CE35" s="41"/>
      <c r="CF35" s="101"/>
      <c r="CG35" s="41"/>
      <c r="CH35" s="41"/>
      <c r="CI35" s="41"/>
      <c r="CJ35" s="41"/>
      <c r="CK35" s="41"/>
      <c r="CL35" s="101"/>
    </row>
    <row r="36" spans="1:90">
      <c r="A36" s="282"/>
      <c r="B36" t="s">
        <v>72</v>
      </c>
      <c r="C36" s="30">
        <v>5</v>
      </c>
      <c r="D36" t="s">
        <v>67</v>
      </c>
      <c r="E36" s="87"/>
      <c r="H36" s="40">
        <v>6</v>
      </c>
      <c r="I36" s="40">
        <v>10</v>
      </c>
      <c r="J36" s="74">
        <v>52</v>
      </c>
      <c r="K36" s="45">
        <v>10</v>
      </c>
      <c r="L36" s="45">
        <v>8</v>
      </c>
      <c r="M36" s="45">
        <v>9</v>
      </c>
      <c r="N36" s="45">
        <v>8</v>
      </c>
      <c r="O36" s="106">
        <v>37</v>
      </c>
      <c r="P36" s="29">
        <v>8</v>
      </c>
      <c r="Q36" s="29">
        <v>9</v>
      </c>
      <c r="R36" s="29">
        <v>5</v>
      </c>
      <c r="S36" s="29">
        <v>9</v>
      </c>
      <c r="T36" s="106">
        <v>38</v>
      </c>
      <c r="U36" s="29">
        <v>13</v>
      </c>
      <c r="V36" s="29">
        <v>8</v>
      </c>
      <c r="W36" s="29">
        <v>8</v>
      </c>
      <c r="X36" s="29">
        <v>6</v>
      </c>
      <c r="Y36" s="29">
        <v>10</v>
      </c>
      <c r="Z36" s="106">
        <v>39</v>
      </c>
      <c r="AA36" s="45">
        <v>9</v>
      </c>
      <c r="AB36" s="45">
        <v>6</v>
      </c>
      <c r="AC36" s="45">
        <v>7</v>
      </c>
      <c r="AD36" s="45">
        <v>7</v>
      </c>
      <c r="AE36" s="106">
        <v>32</v>
      </c>
      <c r="AF36" s="45">
        <v>3</v>
      </c>
      <c r="AG36" s="45">
        <v>7</v>
      </c>
      <c r="AH36" s="45">
        <v>2</v>
      </c>
      <c r="AI36" s="45">
        <v>3</v>
      </c>
      <c r="AJ36" s="106">
        <v>18</v>
      </c>
      <c r="AK36" s="45">
        <v>2</v>
      </c>
      <c r="AL36" s="45">
        <v>1</v>
      </c>
      <c r="AM36" s="45">
        <v>2</v>
      </c>
      <c r="AN36" s="45">
        <v>3</v>
      </c>
      <c r="AO36" s="45">
        <v>4</v>
      </c>
      <c r="AP36" s="106">
        <v>9</v>
      </c>
      <c r="AQ36" s="45">
        <v>0</v>
      </c>
      <c r="AR36" s="45">
        <v>2</v>
      </c>
      <c r="AS36" s="45">
        <v>2</v>
      </c>
      <c r="AT36" s="45">
        <v>1</v>
      </c>
      <c r="AU36" s="106">
        <v>7</v>
      </c>
      <c r="AV36" s="45">
        <v>3</v>
      </c>
      <c r="AW36" s="45">
        <v>3</v>
      </c>
      <c r="AX36" s="45">
        <v>3</v>
      </c>
      <c r="AY36" s="45">
        <v>3</v>
      </c>
      <c r="AZ36" s="106">
        <v>13</v>
      </c>
      <c r="BA36" s="45">
        <v>3</v>
      </c>
      <c r="BB36" s="45">
        <v>4</v>
      </c>
      <c r="BC36" s="45">
        <v>1</v>
      </c>
      <c r="BD36" s="45">
        <v>3</v>
      </c>
      <c r="BE36" s="45">
        <v>9</v>
      </c>
      <c r="BF36" s="106">
        <v>19</v>
      </c>
      <c r="BG36" s="45">
        <v>8</v>
      </c>
      <c r="BH36" s="45">
        <v>4</v>
      </c>
      <c r="BI36" s="45">
        <v>12</v>
      </c>
      <c r="BJ36" s="45">
        <v>8</v>
      </c>
      <c r="BK36" s="106">
        <v>34</v>
      </c>
      <c r="BL36" s="45">
        <v>18</v>
      </c>
      <c r="BM36" s="45">
        <v>10</v>
      </c>
      <c r="BN36" s="45">
        <v>18</v>
      </c>
      <c r="BO36" s="45">
        <v>10</v>
      </c>
      <c r="BP36" s="45">
        <v>16</v>
      </c>
      <c r="BQ36" s="106">
        <v>69</v>
      </c>
      <c r="BR36" s="45">
        <v>15</v>
      </c>
      <c r="BS36" s="45">
        <v>13</v>
      </c>
      <c r="BT36" s="45">
        <v>8</v>
      </c>
      <c r="BU36" s="45">
        <v>10</v>
      </c>
      <c r="BV36" s="106">
        <v>49</v>
      </c>
      <c r="BW36" s="40">
        <v>11</v>
      </c>
      <c r="BX36" s="40">
        <v>15</v>
      </c>
      <c r="BY36" s="40">
        <v>8</v>
      </c>
      <c r="BZ36" s="40">
        <v>7</v>
      </c>
      <c r="CA36" s="106">
        <v>41</v>
      </c>
      <c r="CB36" s="40">
        <v>13</v>
      </c>
      <c r="CC36" s="40">
        <v>18</v>
      </c>
      <c r="CD36" s="40">
        <v>11</v>
      </c>
      <c r="CE36" s="40">
        <v>12</v>
      </c>
      <c r="CF36" s="106">
        <v>54</v>
      </c>
      <c r="CG36" s="40">
        <v>7</v>
      </c>
      <c r="CH36" s="40">
        <v>6</v>
      </c>
      <c r="CI36" s="40">
        <v>3</v>
      </c>
      <c r="CJ36" s="40">
        <v>5</v>
      </c>
      <c r="CK36" s="40">
        <v>3</v>
      </c>
      <c r="CL36" s="106">
        <v>18</v>
      </c>
    </row>
    <row r="37" spans="1:90">
      <c r="A37" s="282"/>
      <c r="B37" t="s">
        <v>72</v>
      </c>
      <c r="C37" s="30">
        <v>5</v>
      </c>
      <c r="D37" t="s">
        <v>68</v>
      </c>
      <c r="E37" s="87"/>
      <c r="H37" s="40">
        <v>4</v>
      </c>
      <c r="I37" s="40">
        <v>10</v>
      </c>
      <c r="J37" s="74">
        <v>44</v>
      </c>
      <c r="K37" s="45">
        <v>14</v>
      </c>
      <c r="L37" s="45">
        <v>9</v>
      </c>
      <c r="M37" s="45">
        <v>12</v>
      </c>
      <c r="N37" s="45">
        <v>8</v>
      </c>
      <c r="O37" s="106">
        <v>45</v>
      </c>
      <c r="P37" s="29">
        <v>8</v>
      </c>
      <c r="Q37" s="29">
        <v>4</v>
      </c>
      <c r="R37" s="29">
        <v>8</v>
      </c>
      <c r="S37" s="29">
        <v>9</v>
      </c>
      <c r="T37" s="106">
        <v>35</v>
      </c>
      <c r="U37" s="29">
        <v>11</v>
      </c>
      <c r="V37" s="29">
        <v>10</v>
      </c>
      <c r="W37" s="29">
        <v>8</v>
      </c>
      <c r="X37" s="29">
        <v>8</v>
      </c>
      <c r="Y37" s="29">
        <v>8</v>
      </c>
      <c r="Z37" s="106">
        <v>40</v>
      </c>
      <c r="AA37" s="45">
        <v>11</v>
      </c>
      <c r="AB37" s="45">
        <v>14</v>
      </c>
      <c r="AC37" s="45">
        <v>15</v>
      </c>
      <c r="AD37" s="45">
        <v>9</v>
      </c>
      <c r="AE37" s="106">
        <v>53</v>
      </c>
      <c r="AF37" s="45">
        <v>22</v>
      </c>
      <c r="AG37" s="45">
        <v>12</v>
      </c>
      <c r="AH37" s="45">
        <v>17</v>
      </c>
      <c r="AI37" s="45">
        <v>7</v>
      </c>
      <c r="AJ37" s="106">
        <v>67</v>
      </c>
      <c r="AK37" s="45">
        <v>8</v>
      </c>
      <c r="AL37" s="45">
        <v>5</v>
      </c>
      <c r="AM37" s="45">
        <v>13</v>
      </c>
      <c r="AN37" s="45">
        <v>7</v>
      </c>
      <c r="AO37" s="45">
        <v>11</v>
      </c>
      <c r="AP37" s="106">
        <v>42</v>
      </c>
      <c r="AQ37" s="45">
        <v>12</v>
      </c>
      <c r="AR37" s="45">
        <v>20</v>
      </c>
      <c r="AS37" s="45">
        <v>17</v>
      </c>
      <c r="AT37" s="45">
        <v>16</v>
      </c>
      <c r="AU37" s="106">
        <v>64</v>
      </c>
      <c r="AV37" s="45">
        <v>17</v>
      </c>
      <c r="AW37" s="45">
        <v>9</v>
      </c>
      <c r="AX37" s="45">
        <v>15</v>
      </c>
      <c r="AY37" s="45">
        <v>11</v>
      </c>
      <c r="AZ37" s="106">
        <v>54</v>
      </c>
      <c r="BA37" s="45">
        <v>19</v>
      </c>
      <c r="BB37" s="45">
        <v>19</v>
      </c>
      <c r="BC37" s="45">
        <v>10</v>
      </c>
      <c r="BD37" s="45">
        <v>10</v>
      </c>
      <c r="BE37" s="45">
        <v>12</v>
      </c>
      <c r="BF37" s="106">
        <v>64</v>
      </c>
      <c r="BG37" s="45">
        <v>8</v>
      </c>
      <c r="BH37" s="45">
        <v>4</v>
      </c>
      <c r="BI37" s="45">
        <v>6</v>
      </c>
      <c r="BJ37" s="45">
        <v>4</v>
      </c>
      <c r="BK37" s="106">
        <v>24</v>
      </c>
      <c r="BL37" s="45">
        <v>7</v>
      </c>
      <c r="BM37" s="45">
        <v>15</v>
      </c>
      <c r="BN37" s="45">
        <v>6</v>
      </c>
      <c r="BO37" s="45">
        <v>10</v>
      </c>
      <c r="BP37" s="45">
        <v>9</v>
      </c>
      <c r="BQ37" s="106">
        <v>40</v>
      </c>
      <c r="BR37" s="45">
        <v>12</v>
      </c>
      <c r="BS37" s="45">
        <v>10</v>
      </c>
      <c r="BT37" s="45">
        <v>6</v>
      </c>
      <c r="BU37" s="45">
        <v>5</v>
      </c>
      <c r="BV37" s="106">
        <v>35</v>
      </c>
      <c r="BW37" s="40">
        <v>6</v>
      </c>
      <c r="BX37" s="40">
        <v>3</v>
      </c>
      <c r="BY37" s="40">
        <v>4</v>
      </c>
      <c r="BZ37" s="40">
        <v>10</v>
      </c>
      <c r="CA37" s="106">
        <v>23</v>
      </c>
      <c r="CB37" s="40">
        <v>8</v>
      </c>
      <c r="CC37" s="40">
        <v>6</v>
      </c>
      <c r="CD37" s="40">
        <v>11</v>
      </c>
      <c r="CE37" s="40">
        <v>11</v>
      </c>
      <c r="CF37" s="106">
        <v>36</v>
      </c>
      <c r="CG37" s="40">
        <v>12</v>
      </c>
      <c r="CH37" s="40">
        <v>15</v>
      </c>
      <c r="CI37" s="40">
        <v>18</v>
      </c>
      <c r="CJ37" s="40">
        <v>7</v>
      </c>
      <c r="CK37" s="40">
        <v>8</v>
      </c>
      <c r="CL37" s="106">
        <v>54</v>
      </c>
    </row>
    <row r="38" spans="1:90">
      <c r="A38" s="282"/>
      <c r="D38" s="9" t="s">
        <v>95</v>
      </c>
      <c r="E38" s="87"/>
      <c r="J38" s="209">
        <f>+J37+J36</f>
        <v>96</v>
      </c>
      <c r="K38" s="45"/>
      <c r="L38" s="45"/>
      <c r="M38" s="45"/>
      <c r="N38" s="45"/>
      <c r="O38" s="112">
        <f>+O37+O36</f>
        <v>82</v>
      </c>
      <c r="P38" s="29"/>
      <c r="Q38" s="29"/>
      <c r="R38" s="29"/>
      <c r="S38" s="29"/>
      <c r="T38" s="112">
        <f>+T37+T36</f>
        <v>73</v>
      </c>
      <c r="U38" s="29"/>
      <c r="V38" s="29"/>
      <c r="W38" s="29"/>
      <c r="X38" s="29"/>
      <c r="Y38" s="29"/>
      <c r="Z38" s="112">
        <f t="shared" ref="Z38:AJ38" si="82">+Z37+Z36</f>
        <v>79</v>
      </c>
      <c r="AA38" s="63">
        <f t="shared" si="82"/>
        <v>20</v>
      </c>
      <c r="AB38" s="63">
        <f t="shared" si="82"/>
        <v>20</v>
      </c>
      <c r="AC38" s="63">
        <f t="shared" si="82"/>
        <v>22</v>
      </c>
      <c r="AD38" s="63">
        <f t="shared" si="82"/>
        <v>16</v>
      </c>
      <c r="AE38" s="112">
        <f t="shared" si="82"/>
        <v>85</v>
      </c>
      <c r="AF38" s="63">
        <f t="shared" si="82"/>
        <v>25</v>
      </c>
      <c r="AG38" s="63">
        <f t="shared" si="82"/>
        <v>19</v>
      </c>
      <c r="AH38" s="63">
        <f t="shared" si="82"/>
        <v>19</v>
      </c>
      <c r="AI38" s="63">
        <f t="shared" si="82"/>
        <v>10</v>
      </c>
      <c r="AJ38" s="112">
        <f t="shared" si="82"/>
        <v>85</v>
      </c>
      <c r="AK38" s="63">
        <f>AK36+AK37</f>
        <v>10</v>
      </c>
      <c r="AL38" s="63">
        <f>AL36+AL37</f>
        <v>6</v>
      </c>
      <c r="AM38" s="63">
        <f>AM36+AM37</f>
        <v>15</v>
      </c>
      <c r="AN38" s="63">
        <f>AN36+AN37</f>
        <v>10</v>
      </c>
      <c r="AO38" s="63">
        <f>AO36+AO37</f>
        <v>15</v>
      </c>
      <c r="AP38" s="112">
        <f>+AP37+AP36</f>
        <v>51</v>
      </c>
      <c r="AQ38" s="63">
        <f>AQ36+AQ37</f>
        <v>12</v>
      </c>
      <c r="AR38" s="63">
        <f>AR36+AR37</f>
        <v>22</v>
      </c>
      <c r="AS38" s="63">
        <f>AS36+AS37</f>
        <v>19</v>
      </c>
      <c r="AT38" s="63">
        <f>AT36+AT37</f>
        <v>17</v>
      </c>
      <c r="AU38" s="112">
        <f>+AU37+AU36</f>
        <v>71</v>
      </c>
      <c r="AV38" s="63">
        <f>AV36+AV37</f>
        <v>20</v>
      </c>
      <c r="AW38" s="63">
        <f>AW36+AW37</f>
        <v>12</v>
      </c>
      <c r="AX38" s="63">
        <f>AX36+AX37</f>
        <v>18</v>
      </c>
      <c r="AY38" s="63">
        <f>AY36+AY37</f>
        <v>14</v>
      </c>
      <c r="AZ38" s="112">
        <f>+AZ37+AZ36</f>
        <v>67</v>
      </c>
      <c r="BA38" s="63">
        <f>BA36+BA37</f>
        <v>22</v>
      </c>
      <c r="BB38" s="63">
        <f>BB36+BB37</f>
        <v>23</v>
      </c>
      <c r="BC38" s="63">
        <f>BC36+BC37</f>
        <v>11</v>
      </c>
      <c r="BD38" s="63">
        <f>BD36+BD37</f>
        <v>13</v>
      </c>
      <c r="BE38" s="63">
        <f>BE36+BE37</f>
        <v>21</v>
      </c>
      <c r="BF38" s="112">
        <f>+BF37+BF36</f>
        <v>83</v>
      </c>
      <c r="BG38" s="63">
        <f>BG36+BG37</f>
        <v>16</v>
      </c>
      <c r="BH38" s="63">
        <f>BH36+BH37</f>
        <v>8</v>
      </c>
      <c r="BI38" s="63">
        <f>BI36+BI37</f>
        <v>18</v>
      </c>
      <c r="BJ38" s="63">
        <f>BJ36+BJ37</f>
        <v>12</v>
      </c>
      <c r="BK38" s="112">
        <f>+BK37+BK36</f>
        <v>58</v>
      </c>
      <c r="BL38" s="63">
        <f>BL36+BL37</f>
        <v>25</v>
      </c>
      <c r="BM38" s="63">
        <f>BM36+BM37</f>
        <v>25</v>
      </c>
      <c r="BN38" s="63">
        <f>BN36+BN37</f>
        <v>24</v>
      </c>
      <c r="BO38" s="63">
        <f>BO36+BO37</f>
        <v>20</v>
      </c>
      <c r="BP38" s="63">
        <f>BP36+BP37</f>
        <v>25</v>
      </c>
      <c r="BQ38" s="112">
        <f>+BQ37+BQ36</f>
        <v>109</v>
      </c>
      <c r="BR38" s="63">
        <f>BR36+BR37</f>
        <v>27</v>
      </c>
      <c r="BS38" s="63">
        <f>BS36+BS37</f>
        <v>23</v>
      </c>
      <c r="BT38" s="63">
        <f>BT36+BT37</f>
        <v>14</v>
      </c>
      <c r="BU38" s="63">
        <f>BU36+BU37</f>
        <v>15</v>
      </c>
      <c r="BV38" s="112">
        <f>+BV37+BV36</f>
        <v>84</v>
      </c>
      <c r="BW38" s="43">
        <f>BW36+BW37</f>
        <v>17</v>
      </c>
      <c r="BX38" s="43">
        <f>BX36+BX37</f>
        <v>18</v>
      </c>
      <c r="BY38" s="43">
        <f>BY36+BY37</f>
        <v>12</v>
      </c>
      <c r="BZ38" s="43">
        <f>BZ36+BZ37</f>
        <v>17</v>
      </c>
      <c r="CA38" s="112">
        <f>+CA37+CA36</f>
        <v>64</v>
      </c>
      <c r="CB38" s="43">
        <f>CB36+CB37</f>
        <v>21</v>
      </c>
      <c r="CC38" s="43">
        <f>CC36+CC37</f>
        <v>24</v>
      </c>
      <c r="CD38" s="43">
        <f>CD36+CD37</f>
        <v>22</v>
      </c>
      <c r="CE38" s="43">
        <f>CE36+CE37</f>
        <v>23</v>
      </c>
      <c r="CF38" s="112">
        <f>+CF37+CF36</f>
        <v>90</v>
      </c>
      <c r="CG38" s="43">
        <f>CG36+CG37</f>
        <v>19</v>
      </c>
      <c r="CH38" s="43">
        <f>CH36+CH37</f>
        <v>21</v>
      </c>
      <c r="CI38" s="43">
        <f>CI36+CI37</f>
        <v>21</v>
      </c>
      <c r="CJ38" s="43">
        <f>CJ36+CJ37</f>
        <v>12</v>
      </c>
      <c r="CK38" s="43">
        <f>CK36+CK37</f>
        <v>11</v>
      </c>
      <c r="CL38" s="112">
        <f>+CL37+CL36</f>
        <v>72</v>
      </c>
    </row>
    <row r="39" spans="1:90">
      <c r="A39" s="282"/>
      <c r="B39" t="s">
        <v>75</v>
      </c>
      <c r="C39" s="30">
        <v>2</v>
      </c>
      <c r="D39" t="s">
        <v>76</v>
      </c>
      <c r="E39" s="87">
        <v>14</v>
      </c>
      <c r="F39" s="40">
        <v>20</v>
      </c>
      <c r="G39" s="40">
        <v>17</v>
      </c>
      <c r="H39" s="40">
        <v>17</v>
      </c>
      <c r="I39" s="40">
        <v>28</v>
      </c>
      <c r="J39" s="74">
        <v>26</v>
      </c>
      <c r="K39" s="45">
        <v>1</v>
      </c>
      <c r="L39" s="45">
        <v>7</v>
      </c>
      <c r="M39" s="45">
        <v>4</v>
      </c>
      <c r="N39" s="45">
        <v>5</v>
      </c>
      <c r="O39" s="106">
        <v>17</v>
      </c>
      <c r="P39" s="29">
        <v>3</v>
      </c>
      <c r="Q39" s="29">
        <v>1</v>
      </c>
      <c r="R39" s="29">
        <v>8</v>
      </c>
      <c r="S39" s="29">
        <v>8</v>
      </c>
      <c r="T39" s="106">
        <v>22</v>
      </c>
      <c r="U39" s="29">
        <v>4</v>
      </c>
      <c r="V39" s="29">
        <v>5</v>
      </c>
      <c r="W39" s="29">
        <v>8</v>
      </c>
      <c r="X39" s="29">
        <v>5</v>
      </c>
      <c r="Y39" s="29">
        <v>10</v>
      </c>
      <c r="Z39" s="106">
        <v>28</v>
      </c>
      <c r="AA39" s="45">
        <v>6</v>
      </c>
      <c r="AB39" s="45">
        <v>10</v>
      </c>
      <c r="AC39" s="45">
        <v>3</v>
      </c>
      <c r="AD39" s="45">
        <v>5</v>
      </c>
      <c r="AE39" s="106">
        <v>27</v>
      </c>
      <c r="AF39" s="45">
        <v>5</v>
      </c>
      <c r="AG39" s="45">
        <v>2</v>
      </c>
      <c r="AH39" s="45">
        <v>11</v>
      </c>
      <c r="AI39" s="45">
        <v>7</v>
      </c>
      <c r="AJ39" s="106">
        <v>25</v>
      </c>
      <c r="AK39" s="45">
        <v>11</v>
      </c>
      <c r="AL39" s="45">
        <v>3</v>
      </c>
      <c r="AM39" s="45">
        <v>3</v>
      </c>
      <c r="AN39" s="45">
        <v>6</v>
      </c>
      <c r="AO39" s="45">
        <v>5</v>
      </c>
      <c r="AP39" s="106">
        <v>26</v>
      </c>
      <c r="AQ39" s="45">
        <v>9</v>
      </c>
      <c r="AR39" s="45">
        <f>7</f>
        <v>7</v>
      </c>
      <c r="AS39" s="45">
        <v>4</v>
      </c>
      <c r="AT39" s="45">
        <v>3</v>
      </c>
      <c r="AU39" s="106">
        <v>28</v>
      </c>
      <c r="AV39" s="45">
        <v>7</v>
      </c>
      <c r="AW39" s="45">
        <v>5</v>
      </c>
      <c r="AX39" s="45">
        <v>4</v>
      </c>
      <c r="AY39" s="45">
        <v>9</v>
      </c>
      <c r="AZ39" s="106">
        <v>26</v>
      </c>
      <c r="BA39" s="45">
        <v>5</v>
      </c>
      <c r="BB39" s="45">
        <v>3</v>
      </c>
      <c r="BC39" s="45">
        <v>8</v>
      </c>
      <c r="BD39" s="45">
        <v>7</v>
      </c>
      <c r="BE39" s="45">
        <v>6</v>
      </c>
      <c r="BF39" s="106">
        <v>24</v>
      </c>
      <c r="BG39" s="45">
        <v>7</v>
      </c>
      <c r="BH39" s="45">
        <v>6</v>
      </c>
      <c r="BI39" s="45">
        <v>7</v>
      </c>
      <c r="BJ39" s="45">
        <v>3</v>
      </c>
      <c r="BK39" s="106">
        <v>25</v>
      </c>
      <c r="BL39" s="45">
        <v>3</v>
      </c>
      <c r="BM39" s="45">
        <v>6</v>
      </c>
      <c r="BN39" s="45">
        <v>7</v>
      </c>
      <c r="BO39" s="45">
        <v>3</v>
      </c>
      <c r="BP39" s="45">
        <v>5</v>
      </c>
      <c r="BQ39" s="106">
        <v>19</v>
      </c>
      <c r="BR39" s="45">
        <v>5</v>
      </c>
      <c r="BS39" s="45">
        <v>5</v>
      </c>
      <c r="BT39" s="45">
        <v>6</v>
      </c>
      <c r="BU39" s="45">
        <v>6</v>
      </c>
      <c r="BV39" s="106">
        <v>24</v>
      </c>
      <c r="BW39" s="40">
        <v>5</v>
      </c>
      <c r="BX39" s="40">
        <v>5</v>
      </c>
      <c r="BY39" s="40">
        <v>5</v>
      </c>
      <c r="BZ39" s="40">
        <v>7</v>
      </c>
      <c r="CA39" s="106">
        <v>23</v>
      </c>
      <c r="CB39" s="40">
        <v>6</v>
      </c>
      <c r="CC39" s="40">
        <v>9</v>
      </c>
      <c r="CD39" s="40">
        <v>8</v>
      </c>
      <c r="CE39" s="40">
        <v>6</v>
      </c>
      <c r="CF39" s="106">
        <v>29</v>
      </c>
      <c r="CG39" s="40">
        <v>2</v>
      </c>
      <c r="CH39" s="40">
        <v>3</v>
      </c>
      <c r="CI39" s="40">
        <v>10</v>
      </c>
      <c r="CJ39" s="40">
        <v>7</v>
      </c>
      <c r="CK39" s="40">
        <v>6</v>
      </c>
      <c r="CL39" s="106">
        <v>26</v>
      </c>
    </row>
    <row r="40" spans="1:90">
      <c r="A40" s="282"/>
      <c r="B40" t="s">
        <v>75</v>
      </c>
      <c r="C40" s="30">
        <v>1</v>
      </c>
      <c r="D40" t="s">
        <v>77</v>
      </c>
      <c r="E40" s="87"/>
      <c r="H40" s="40">
        <v>3</v>
      </c>
      <c r="I40" s="40">
        <v>3</v>
      </c>
      <c r="J40" s="74">
        <v>6</v>
      </c>
      <c r="K40" s="45">
        <v>1</v>
      </c>
      <c r="L40" s="45">
        <v>0</v>
      </c>
      <c r="M40" s="45">
        <v>1</v>
      </c>
      <c r="N40" s="45">
        <v>1</v>
      </c>
      <c r="O40" s="106">
        <v>2</v>
      </c>
      <c r="P40" s="29">
        <v>0</v>
      </c>
      <c r="Q40" s="29">
        <v>4</v>
      </c>
      <c r="R40" s="29">
        <v>0</v>
      </c>
      <c r="S40" s="29">
        <v>3</v>
      </c>
      <c r="T40" s="106">
        <v>9</v>
      </c>
      <c r="U40" s="29">
        <v>1</v>
      </c>
      <c r="V40" s="29">
        <v>2</v>
      </c>
      <c r="W40" s="29">
        <v>1</v>
      </c>
      <c r="X40" s="29">
        <v>0</v>
      </c>
      <c r="Y40" s="29">
        <v>3</v>
      </c>
      <c r="Z40" s="106">
        <v>4</v>
      </c>
      <c r="AA40" s="45">
        <v>1</v>
      </c>
      <c r="AB40" s="45">
        <v>1</v>
      </c>
      <c r="AC40" s="45">
        <v>0</v>
      </c>
      <c r="AD40" s="45">
        <v>0</v>
      </c>
      <c r="AE40" s="106">
        <v>4</v>
      </c>
      <c r="AF40" s="45">
        <v>2</v>
      </c>
      <c r="AG40" s="45">
        <v>2</v>
      </c>
      <c r="AH40" s="45">
        <v>2</v>
      </c>
      <c r="AI40" s="45">
        <v>2</v>
      </c>
      <c r="AJ40" s="106">
        <v>10</v>
      </c>
      <c r="AK40" s="45">
        <v>3</v>
      </c>
      <c r="AL40" s="45">
        <v>0</v>
      </c>
      <c r="AM40" s="45">
        <v>3</v>
      </c>
      <c r="AN40" s="45">
        <v>3</v>
      </c>
      <c r="AO40" s="45">
        <v>4</v>
      </c>
      <c r="AP40" s="106">
        <v>11</v>
      </c>
      <c r="AQ40" s="45">
        <v>0</v>
      </c>
      <c r="AR40" s="45">
        <v>1</v>
      </c>
      <c r="AS40" s="45">
        <v>2</v>
      </c>
      <c r="AT40" s="45">
        <v>2</v>
      </c>
      <c r="AU40" s="106">
        <f>4+1</f>
        <v>5</v>
      </c>
      <c r="AV40" s="45">
        <v>2</v>
      </c>
      <c r="AW40" s="45">
        <v>2</v>
      </c>
      <c r="AX40" s="45">
        <v>1</v>
      </c>
      <c r="AY40" s="45">
        <v>2</v>
      </c>
      <c r="AZ40" s="106">
        <v>9</v>
      </c>
      <c r="BA40" s="45">
        <v>3</v>
      </c>
      <c r="BB40" s="45">
        <v>2</v>
      </c>
      <c r="BC40" s="45">
        <v>3</v>
      </c>
      <c r="BD40" s="45">
        <v>3</v>
      </c>
      <c r="BE40" s="45">
        <v>2</v>
      </c>
      <c r="BF40" s="106">
        <v>11</v>
      </c>
      <c r="BG40" s="45">
        <v>3</v>
      </c>
      <c r="BH40" s="45">
        <v>4</v>
      </c>
      <c r="BI40" s="45">
        <v>2</v>
      </c>
      <c r="BJ40" s="45">
        <v>4</v>
      </c>
      <c r="BK40" s="106">
        <f>0+13</f>
        <v>13</v>
      </c>
      <c r="BL40" s="45">
        <v>1</v>
      </c>
      <c r="BM40" s="45">
        <v>1</v>
      </c>
      <c r="BN40" s="45">
        <v>1</v>
      </c>
      <c r="BO40" s="45">
        <v>1</v>
      </c>
      <c r="BP40" s="45">
        <v>4</v>
      </c>
      <c r="BQ40" s="106">
        <v>4</v>
      </c>
      <c r="BR40" s="45">
        <v>2</v>
      </c>
      <c r="BS40" s="45">
        <v>2</v>
      </c>
      <c r="BT40" s="45">
        <v>5</v>
      </c>
      <c r="BU40" s="45">
        <v>2</v>
      </c>
      <c r="BV40" s="106">
        <v>13</v>
      </c>
      <c r="BW40" s="40">
        <v>1</v>
      </c>
      <c r="BX40" s="40">
        <v>3</v>
      </c>
      <c r="BY40" s="40">
        <v>2</v>
      </c>
      <c r="BZ40" s="40">
        <v>3</v>
      </c>
      <c r="CA40" s="106">
        <v>9</v>
      </c>
      <c r="CB40" s="40">
        <v>1</v>
      </c>
      <c r="CC40" s="40">
        <v>0</v>
      </c>
      <c r="CD40" s="40">
        <v>1</v>
      </c>
      <c r="CE40" s="40">
        <v>2</v>
      </c>
      <c r="CF40" s="106">
        <v>4</v>
      </c>
      <c r="CG40" s="40">
        <v>0</v>
      </c>
      <c r="CH40" s="40">
        <v>1</v>
      </c>
      <c r="CI40" s="40">
        <v>1</v>
      </c>
      <c r="CJ40" s="40">
        <v>2</v>
      </c>
      <c r="CK40" s="40">
        <v>3</v>
      </c>
      <c r="CL40" s="106">
        <v>6</v>
      </c>
    </row>
    <row r="41" spans="1:90">
      <c r="A41" s="282"/>
      <c r="B41" t="s">
        <v>75</v>
      </c>
      <c r="C41" s="30">
        <v>1</v>
      </c>
      <c r="D41" t="s">
        <v>78</v>
      </c>
      <c r="E41" s="87"/>
      <c r="H41" s="40">
        <v>1</v>
      </c>
      <c r="I41" s="40">
        <v>6</v>
      </c>
      <c r="J41" s="74">
        <v>10</v>
      </c>
      <c r="K41" s="45">
        <v>3</v>
      </c>
      <c r="L41" s="45">
        <v>1</v>
      </c>
      <c r="M41" s="45">
        <v>2</v>
      </c>
      <c r="N41" s="45">
        <v>1</v>
      </c>
      <c r="O41" s="106">
        <v>7</v>
      </c>
      <c r="P41" s="29">
        <v>2</v>
      </c>
      <c r="Q41" s="29">
        <v>1</v>
      </c>
      <c r="R41" s="29">
        <v>1</v>
      </c>
      <c r="S41" s="29">
        <v>2</v>
      </c>
      <c r="T41" s="106">
        <v>6</v>
      </c>
      <c r="U41" s="29">
        <v>2</v>
      </c>
      <c r="V41" s="29">
        <v>4</v>
      </c>
      <c r="W41" s="29">
        <v>1</v>
      </c>
      <c r="X41" s="29">
        <v>1</v>
      </c>
      <c r="Y41" s="29">
        <v>1</v>
      </c>
      <c r="Z41" s="106">
        <v>8</v>
      </c>
      <c r="AA41" s="45">
        <v>0</v>
      </c>
      <c r="AB41" s="45">
        <v>0</v>
      </c>
      <c r="AC41" s="45">
        <v>1</v>
      </c>
      <c r="AD41" s="45">
        <v>0</v>
      </c>
      <c r="AE41" s="106">
        <v>1</v>
      </c>
      <c r="AF41" s="45">
        <v>1</v>
      </c>
      <c r="AG41" s="45">
        <v>0</v>
      </c>
      <c r="AH41" s="45">
        <v>2</v>
      </c>
      <c r="AI41" s="45">
        <v>5</v>
      </c>
      <c r="AJ41" s="106">
        <v>8</v>
      </c>
      <c r="AK41" s="45">
        <v>1</v>
      </c>
      <c r="AL41" s="45">
        <v>1</v>
      </c>
      <c r="AM41" s="45">
        <v>1</v>
      </c>
      <c r="AN41" s="45">
        <v>0</v>
      </c>
      <c r="AO41" s="45">
        <v>3</v>
      </c>
      <c r="AP41" s="106">
        <f>5+1</f>
        <v>6</v>
      </c>
      <c r="AQ41" s="45">
        <v>2</v>
      </c>
      <c r="AR41" s="45">
        <v>1</v>
      </c>
      <c r="AS41" s="45">
        <v>3</v>
      </c>
      <c r="AT41" s="45">
        <f>3+1</f>
        <v>4</v>
      </c>
      <c r="AU41" s="106">
        <f>10+1</f>
        <v>11</v>
      </c>
      <c r="AV41" s="45">
        <v>1</v>
      </c>
      <c r="AW41" s="45">
        <v>2</v>
      </c>
      <c r="AX41" s="45">
        <v>1</v>
      </c>
      <c r="AY41" s="45">
        <v>4</v>
      </c>
      <c r="AZ41" s="106">
        <v>9</v>
      </c>
      <c r="BA41" s="45">
        <v>3</v>
      </c>
      <c r="BB41" s="45">
        <v>2</v>
      </c>
      <c r="BC41" s="45">
        <v>2</v>
      </c>
      <c r="BD41" s="45">
        <v>1</v>
      </c>
      <c r="BE41" s="45">
        <v>1</v>
      </c>
      <c r="BF41" s="106">
        <v>8</v>
      </c>
      <c r="BG41" s="45">
        <v>1</v>
      </c>
      <c r="BH41" s="45">
        <v>1</v>
      </c>
      <c r="BI41" s="45">
        <v>0</v>
      </c>
      <c r="BJ41" s="45">
        <v>2</v>
      </c>
      <c r="BK41" s="106">
        <v>4</v>
      </c>
      <c r="BL41" s="45">
        <v>1</v>
      </c>
      <c r="BM41" s="45">
        <v>1</v>
      </c>
      <c r="BN41" s="45">
        <v>0</v>
      </c>
      <c r="BO41" s="45">
        <v>1</v>
      </c>
      <c r="BP41" s="45">
        <v>0</v>
      </c>
      <c r="BQ41" s="106">
        <v>2</v>
      </c>
      <c r="BR41" s="45">
        <v>1</v>
      </c>
      <c r="BS41" s="45">
        <v>0</v>
      </c>
      <c r="BT41" s="45">
        <v>0</v>
      </c>
      <c r="BU41" s="45">
        <v>1</v>
      </c>
      <c r="BV41" s="106">
        <v>2</v>
      </c>
      <c r="BW41" s="40">
        <v>3</v>
      </c>
      <c r="BX41" s="40">
        <v>1</v>
      </c>
      <c r="BY41" s="40">
        <v>3</v>
      </c>
      <c r="BZ41" s="40">
        <v>2</v>
      </c>
      <c r="CA41" s="106">
        <v>9</v>
      </c>
      <c r="CB41" s="40">
        <v>0</v>
      </c>
      <c r="CC41" s="40">
        <v>0</v>
      </c>
      <c r="CD41" s="40">
        <v>0</v>
      </c>
      <c r="CE41" s="40">
        <v>1</v>
      </c>
      <c r="CF41" s="106">
        <v>2</v>
      </c>
      <c r="CG41" s="40">
        <v>1</v>
      </c>
      <c r="CH41" s="40">
        <v>3</v>
      </c>
      <c r="CI41" s="40">
        <v>0</v>
      </c>
      <c r="CJ41" s="40">
        <v>0</v>
      </c>
      <c r="CK41" s="40">
        <v>1</v>
      </c>
      <c r="CL41" s="106">
        <v>4</v>
      </c>
    </row>
    <row r="42" spans="1:90">
      <c r="A42" s="282"/>
      <c r="B42" t="s">
        <v>75</v>
      </c>
      <c r="C42" s="30">
        <v>4</v>
      </c>
      <c r="D42" t="s">
        <v>89</v>
      </c>
      <c r="E42" s="87"/>
      <c r="H42" s="40">
        <v>5</v>
      </c>
      <c r="I42" s="40">
        <v>20</v>
      </c>
      <c r="J42" s="74">
        <v>37</v>
      </c>
      <c r="K42" s="45">
        <v>7</v>
      </c>
      <c r="L42" s="45">
        <v>10</v>
      </c>
      <c r="M42" s="45">
        <v>9</v>
      </c>
      <c r="N42" s="45">
        <v>0</v>
      </c>
      <c r="O42" s="106">
        <v>26</v>
      </c>
      <c r="P42" s="29">
        <v>5</v>
      </c>
      <c r="Q42" s="29">
        <v>11</v>
      </c>
      <c r="R42" s="29">
        <v>4</v>
      </c>
      <c r="S42" s="29">
        <v>8</v>
      </c>
      <c r="T42" s="106">
        <v>31</v>
      </c>
      <c r="U42" s="29">
        <v>9</v>
      </c>
      <c r="V42" s="29">
        <v>2</v>
      </c>
      <c r="W42" s="29">
        <v>7</v>
      </c>
      <c r="X42" s="29">
        <v>2</v>
      </c>
      <c r="Y42" s="29">
        <v>8</v>
      </c>
      <c r="Z42" s="106">
        <v>20</v>
      </c>
      <c r="AA42" s="45">
        <v>8</v>
      </c>
      <c r="AB42" s="45">
        <v>2</v>
      </c>
      <c r="AC42" s="45">
        <v>6</v>
      </c>
      <c r="AD42" s="45">
        <v>6</v>
      </c>
      <c r="AE42" s="106">
        <v>27</v>
      </c>
      <c r="AF42" s="45">
        <v>3</v>
      </c>
      <c r="AG42" s="45">
        <v>4</v>
      </c>
      <c r="AH42" s="45">
        <v>8</v>
      </c>
      <c r="AI42" s="45">
        <v>5</v>
      </c>
      <c r="AJ42" s="106">
        <v>21</v>
      </c>
      <c r="AK42" s="45">
        <v>7</v>
      </c>
      <c r="AL42" s="45">
        <v>2</v>
      </c>
      <c r="AM42" s="45">
        <v>6</v>
      </c>
      <c r="AN42" s="45">
        <v>3</v>
      </c>
      <c r="AO42" s="45">
        <v>7</v>
      </c>
      <c r="AP42" s="106">
        <v>22</v>
      </c>
      <c r="AQ42" s="45">
        <v>9</v>
      </c>
      <c r="AR42" s="45">
        <v>5</v>
      </c>
      <c r="AS42" s="45">
        <v>8</v>
      </c>
      <c r="AT42" s="45">
        <v>7</v>
      </c>
      <c r="AU42" s="106">
        <v>33</v>
      </c>
      <c r="AV42" s="45">
        <v>6</v>
      </c>
      <c r="AW42" s="45">
        <v>3</v>
      </c>
      <c r="AX42" s="45">
        <v>7</v>
      </c>
      <c r="AY42" s="45">
        <v>7</v>
      </c>
      <c r="AZ42" s="106">
        <v>22</v>
      </c>
      <c r="BA42" s="45">
        <v>2</v>
      </c>
      <c r="BB42" s="45">
        <v>4</v>
      </c>
      <c r="BC42" s="45">
        <v>8</v>
      </c>
      <c r="BD42" s="45">
        <v>3</v>
      </c>
      <c r="BE42" s="45">
        <v>8</v>
      </c>
      <c r="BF42" s="106">
        <v>23</v>
      </c>
      <c r="BG42" s="45">
        <v>7</v>
      </c>
      <c r="BH42" s="45">
        <v>9</v>
      </c>
      <c r="BI42" s="45">
        <v>5</v>
      </c>
      <c r="BJ42" s="45">
        <v>4</v>
      </c>
      <c r="BK42" s="106">
        <f>4+22</f>
        <v>26</v>
      </c>
      <c r="BL42" s="45">
        <v>8</v>
      </c>
      <c r="BM42" s="45">
        <v>6</v>
      </c>
      <c r="BN42" s="45">
        <v>3</v>
      </c>
      <c r="BO42" s="45">
        <v>7</v>
      </c>
      <c r="BP42" s="45">
        <v>5</v>
      </c>
      <c r="BQ42" s="106">
        <v>24</v>
      </c>
      <c r="BR42" s="45">
        <v>11</v>
      </c>
      <c r="BS42" s="45">
        <v>5</v>
      </c>
      <c r="BT42" s="45">
        <v>2</v>
      </c>
      <c r="BU42" s="45">
        <v>14</v>
      </c>
      <c r="BV42" s="106">
        <v>35</v>
      </c>
      <c r="BW42" s="40">
        <v>7</v>
      </c>
      <c r="BX42" s="40">
        <v>5</v>
      </c>
      <c r="BY42" s="40">
        <v>8</v>
      </c>
      <c r="BZ42" s="40">
        <v>3</v>
      </c>
      <c r="CA42" s="106">
        <v>23</v>
      </c>
      <c r="CB42" s="40">
        <v>10</v>
      </c>
      <c r="CC42" s="40">
        <v>4</v>
      </c>
      <c r="CD42" s="40">
        <v>8</v>
      </c>
      <c r="CE42" s="40">
        <v>3</v>
      </c>
      <c r="CF42" s="106">
        <v>29</v>
      </c>
      <c r="CG42" s="40">
        <v>8</v>
      </c>
      <c r="CH42" s="40">
        <v>9</v>
      </c>
      <c r="CI42" s="40">
        <v>4</v>
      </c>
      <c r="CJ42" s="40">
        <v>8</v>
      </c>
      <c r="CK42" s="40">
        <v>8</v>
      </c>
      <c r="CL42" s="106">
        <v>30</v>
      </c>
    </row>
    <row r="43" spans="1:90">
      <c r="A43" s="282"/>
      <c r="D43" s="9" t="s">
        <v>95</v>
      </c>
      <c r="E43" s="190"/>
      <c r="F43" s="43"/>
      <c r="G43" s="43"/>
      <c r="H43" s="43"/>
      <c r="J43" s="209">
        <f>SUM(J39:J42)</f>
        <v>79</v>
      </c>
      <c r="K43" s="45"/>
      <c r="L43" s="45"/>
      <c r="M43" s="45"/>
      <c r="N43" s="45"/>
      <c r="O43" s="112">
        <f>SUM(O39:O42)</f>
        <v>52</v>
      </c>
      <c r="P43" s="29"/>
      <c r="Q43" s="29"/>
      <c r="R43" s="29"/>
      <c r="S43" s="29"/>
      <c r="T43" s="112">
        <f>SUM(T39:T42)</f>
        <v>68</v>
      </c>
      <c r="U43" s="29"/>
      <c r="V43" s="29"/>
      <c r="W43" s="29"/>
      <c r="X43" s="29"/>
      <c r="Y43" s="29"/>
      <c r="Z43" s="112">
        <f t="shared" ref="Z43:BE43" si="83">SUM(Z39:Z42)</f>
        <v>60</v>
      </c>
      <c r="AA43" s="63">
        <f t="shared" si="83"/>
        <v>15</v>
      </c>
      <c r="AB43" s="63">
        <f t="shared" si="83"/>
        <v>13</v>
      </c>
      <c r="AC43" s="63">
        <f t="shared" si="83"/>
        <v>10</v>
      </c>
      <c r="AD43" s="63">
        <f t="shared" si="83"/>
        <v>11</v>
      </c>
      <c r="AE43" s="112">
        <f t="shared" si="83"/>
        <v>59</v>
      </c>
      <c r="AF43" s="63">
        <f t="shared" si="83"/>
        <v>11</v>
      </c>
      <c r="AG43" s="63">
        <f t="shared" si="83"/>
        <v>8</v>
      </c>
      <c r="AH43" s="63">
        <f t="shared" si="83"/>
        <v>23</v>
      </c>
      <c r="AI43" s="63">
        <f t="shared" si="83"/>
        <v>19</v>
      </c>
      <c r="AJ43" s="112">
        <f t="shared" si="83"/>
        <v>64</v>
      </c>
      <c r="AK43" s="63">
        <f t="shared" si="83"/>
        <v>22</v>
      </c>
      <c r="AL43" s="63">
        <f t="shared" si="83"/>
        <v>6</v>
      </c>
      <c r="AM43" s="63">
        <f t="shared" si="83"/>
        <v>13</v>
      </c>
      <c r="AN43" s="63">
        <f t="shared" si="83"/>
        <v>12</v>
      </c>
      <c r="AO43" s="63">
        <f t="shared" si="83"/>
        <v>19</v>
      </c>
      <c r="AP43" s="112">
        <f t="shared" si="83"/>
        <v>65</v>
      </c>
      <c r="AQ43" s="63">
        <f t="shared" si="83"/>
        <v>20</v>
      </c>
      <c r="AR43" s="63">
        <f t="shared" si="83"/>
        <v>14</v>
      </c>
      <c r="AS43" s="63">
        <f t="shared" si="83"/>
        <v>17</v>
      </c>
      <c r="AT43" s="63">
        <f t="shared" si="83"/>
        <v>16</v>
      </c>
      <c r="AU43" s="112">
        <f t="shared" si="83"/>
        <v>77</v>
      </c>
      <c r="AV43" s="63">
        <f t="shared" si="83"/>
        <v>16</v>
      </c>
      <c r="AW43" s="63">
        <f t="shared" si="83"/>
        <v>12</v>
      </c>
      <c r="AX43" s="63">
        <f t="shared" si="83"/>
        <v>13</v>
      </c>
      <c r="AY43" s="63">
        <f t="shared" si="83"/>
        <v>22</v>
      </c>
      <c r="AZ43" s="112">
        <f t="shared" si="83"/>
        <v>66</v>
      </c>
      <c r="BA43" s="63">
        <f t="shared" si="83"/>
        <v>13</v>
      </c>
      <c r="BB43" s="63">
        <f t="shared" si="83"/>
        <v>11</v>
      </c>
      <c r="BC43" s="63">
        <f t="shared" si="83"/>
        <v>21</v>
      </c>
      <c r="BD43" s="63">
        <f t="shared" si="83"/>
        <v>14</v>
      </c>
      <c r="BE43" s="63">
        <f t="shared" si="83"/>
        <v>17</v>
      </c>
      <c r="BF43" s="112">
        <f t="shared" ref="BF43:BV43" si="84">SUM(BF39:BF42)</f>
        <v>66</v>
      </c>
      <c r="BG43" s="63">
        <f t="shared" si="84"/>
        <v>18</v>
      </c>
      <c r="BH43" s="63">
        <f t="shared" si="84"/>
        <v>20</v>
      </c>
      <c r="BI43" s="63">
        <f t="shared" si="84"/>
        <v>14</v>
      </c>
      <c r="BJ43" s="63">
        <f t="shared" si="84"/>
        <v>13</v>
      </c>
      <c r="BK43" s="112">
        <f t="shared" si="84"/>
        <v>68</v>
      </c>
      <c r="BL43" s="63">
        <f t="shared" si="84"/>
        <v>13</v>
      </c>
      <c r="BM43" s="63">
        <f t="shared" si="84"/>
        <v>14</v>
      </c>
      <c r="BN43" s="63">
        <f t="shared" si="84"/>
        <v>11</v>
      </c>
      <c r="BO43" s="63">
        <f t="shared" si="84"/>
        <v>12</v>
      </c>
      <c r="BP43" s="63">
        <f t="shared" si="84"/>
        <v>14</v>
      </c>
      <c r="BQ43" s="112">
        <f t="shared" si="84"/>
        <v>49</v>
      </c>
      <c r="BR43" s="63">
        <f t="shared" si="84"/>
        <v>19</v>
      </c>
      <c r="BS43" s="63">
        <f t="shared" si="84"/>
        <v>12</v>
      </c>
      <c r="BT43" s="63">
        <f t="shared" si="84"/>
        <v>13</v>
      </c>
      <c r="BU43" s="63">
        <f t="shared" si="84"/>
        <v>23</v>
      </c>
      <c r="BV43" s="112">
        <f t="shared" si="84"/>
        <v>74</v>
      </c>
      <c r="BW43" s="63">
        <f>SUM(BW39:BW42)</f>
        <v>16</v>
      </c>
      <c r="BX43" s="63">
        <f>SUM(BX39:BX42)</f>
        <v>14</v>
      </c>
      <c r="BY43" s="63">
        <f>SUM(BY39:BY42)</f>
        <v>18</v>
      </c>
      <c r="BZ43" s="63">
        <f>SUM(BZ39:BZ41)</f>
        <v>12</v>
      </c>
      <c r="CA43" s="112">
        <f t="shared" ref="CA43" si="85">SUM(CA39:CA42)</f>
        <v>64</v>
      </c>
      <c r="CB43" s="63">
        <f>SUM(CB39:CB41)</f>
        <v>7</v>
      </c>
      <c r="CC43" s="63">
        <f>SUM(CC39:CC41)</f>
        <v>9</v>
      </c>
      <c r="CD43" s="43">
        <f>SUM(CD39:CD41)</f>
        <v>9</v>
      </c>
      <c r="CE43" s="43">
        <f>SUM(CE39:CE41)</f>
        <v>9</v>
      </c>
      <c r="CF43" s="112">
        <f t="shared" ref="CF43" si="86">SUM(CF39:CF42)</f>
        <v>64</v>
      </c>
      <c r="CG43" s="43">
        <f>SUM(CG39:CG41)</f>
        <v>3</v>
      </c>
      <c r="CH43" s="43">
        <f>SUM(CH39:CH41)</f>
        <v>7</v>
      </c>
      <c r="CI43" s="43">
        <f>SUM(CI39:CI41)</f>
        <v>11</v>
      </c>
      <c r="CJ43" s="43">
        <f>SUM(CJ39:CJ41)</f>
        <v>9</v>
      </c>
      <c r="CK43" s="43">
        <f>SUM(CK39:CK41)</f>
        <v>10</v>
      </c>
      <c r="CL43" s="112">
        <f t="shared" ref="CL43" si="87">SUM(CL39:CL42)</f>
        <v>66</v>
      </c>
    </row>
    <row r="44" spans="1:90" s="11" customFormat="1">
      <c r="A44" s="281" t="s">
        <v>96</v>
      </c>
      <c r="B44" s="10"/>
      <c r="C44" s="33" t="s">
        <v>2</v>
      </c>
      <c r="E44" s="81"/>
      <c r="F44" s="41"/>
      <c r="G44" s="41"/>
      <c r="H44" s="41"/>
      <c r="I44" s="41"/>
      <c r="J44" s="68"/>
      <c r="K44" s="41"/>
      <c r="L44" s="41"/>
      <c r="M44" s="41"/>
      <c r="N44" s="41"/>
      <c r="O44" s="101"/>
      <c r="T44" s="101"/>
      <c r="Z44" s="101"/>
      <c r="AA44" s="41"/>
      <c r="AB44" s="41"/>
      <c r="AE44" s="101"/>
      <c r="AF44" s="41"/>
      <c r="AJ44" s="101"/>
      <c r="AK44" s="41"/>
      <c r="AP44" s="101"/>
      <c r="AU44" s="101"/>
      <c r="AZ44" s="101"/>
      <c r="BF44" s="101"/>
      <c r="BK44" s="101"/>
      <c r="BQ44" s="101"/>
      <c r="BV44" s="101"/>
      <c r="CA44" s="101"/>
      <c r="CD44" s="41"/>
      <c r="CE44" s="41"/>
      <c r="CF44" s="101"/>
      <c r="CG44" s="41"/>
      <c r="CH44" s="41"/>
      <c r="CI44" s="41"/>
      <c r="CJ44" s="41"/>
      <c r="CK44" s="41"/>
      <c r="CL44" s="101"/>
    </row>
    <row r="45" spans="1:90">
      <c r="B45" t="s">
        <v>97</v>
      </c>
      <c r="D45" t="s">
        <v>76</v>
      </c>
      <c r="E45" s="87">
        <v>3</v>
      </c>
      <c r="F45" s="40">
        <v>5</v>
      </c>
      <c r="G45" s="40">
        <v>6</v>
      </c>
      <c r="H45" s="40">
        <v>7</v>
      </c>
      <c r="I45" s="40">
        <v>11</v>
      </c>
      <c r="J45" s="74">
        <v>9</v>
      </c>
      <c r="K45" s="40">
        <v>0</v>
      </c>
      <c r="L45" s="40">
        <v>3</v>
      </c>
      <c r="M45" s="40">
        <v>0</v>
      </c>
      <c r="N45" s="40">
        <v>1</v>
      </c>
      <c r="O45" s="106">
        <v>5</v>
      </c>
      <c r="P45">
        <v>0</v>
      </c>
      <c r="Q45">
        <v>0</v>
      </c>
      <c r="R45">
        <v>3</v>
      </c>
      <c r="S45">
        <v>2</v>
      </c>
      <c r="T45" s="106">
        <v>5</v>
      </c>
      <c r="U45">
        <v>0</v>
      </c>
      <c r="V45" s="29">
        <v>0</v>
      </c>
      <c r="W45" s="29">
        <v>1</v>
      </c>
      <c r="X45" s="29">
        <v>2</v>
      </c>
      <c r="Y45" s="29">
        <v>1</v>
      </c>
      <c r="Z45" s="106">
        <v>4</v>
      </c>
      <c r="AA45" s="45">
        <v>0.01</v>
      </c>
      <c r="AB45" s="45">
        <v>5</v>
      </c>
      <c r="AC45" s="40">
        <v>1</v>
      </c>
      <c r="AD45" s="40">
        <v>1</v>
      </c>
      <c r="AE45" s="106">
        <v>7</v>
      </c>
      <c r="AF45" s="40">
        <v>3</v>
      </c>
      <c r="AG45" s="45">
        <v>0</v>
      </c>
      <c r="AH45" s="45">
        <v>5</v>
      </c>
      <c r="AI45" s="45">
        <v>2</v>
      </c>
      <c r="AJ45" s="106">
        <v>10</v>
      </c>
      <c r="AK45" s="45">
        <v>4</v>
      </c>
      <c r="AL45" s="45">
        <v>1</v>
      </c>
      <c r="AM45" s="45">
        <v>1</v>
      </c>
      <c r="AN45" s="45">
        <v>2</v>
      </c>
      <c r="AO45" s="45">
        <v>3</v>
      </c>
      <c r="AP45" s="106">
        <v>9</v>
      </c>
      <c r="AQ45" s="45">
        <v>1</v>
      </c>
      <c r="AR45" s="45">
        <v>2</v>
      </c>
      <c r="AS45" s="45">
        <v>1</v>
      </c>
      <c r="AT45" s="45">
        <v>2</v>
      </c>
      <c r="AU45" s="106">
        <v>10</v>
      </c>
      <c r="AV45" s="45">
        <v>3</v>
      </c>
      <c r="AW45" s="45">
        <v>2</v>
      </c>
      <c r="AX45" s="45">
        <v>2</v>
      </c>
      <c r="AY45" s="45">
        <v>1</v>
      </c>
      <c r="AZ45" s="106">
        <v>9</v>
      </c>
      <c r="BA45" s="45">
        <v>3</v>
      </c>
      <c r="BB45" s="45">
        <v>1</v>
      </c>
      <c r="BC45" s="45">
        <v>1</v>
      </c>
      <c r="BD45" s="45">
        <v>2</v>
      </c>
      <c r="BE45" s="45">
        <v>2</v>
      </c>
      <c r="BF45" s="106">
        <v>6</v>
      </c>
      <c r="BG45" s="45">
        <v>1</v>
      </c>
      <c r="BH45" s="45">
        <v>0</v>
      </c>
      <c r="BI45" s="45">
        <v>3</v>
      </c>
      <c r="BJ45" s="45">
        <v>0</v>
      </c>
      <c r="BK45" s="106">
        <v>5</v>
      </c>
      <c r="BL45" s="45">
        <v>1</v>
      </c>
      <c r="BM45" s="45">
        <v>2</v>
      </c>
      <c r="BN45" s="45">
        <v>3</v>
      </c>
      <c r="BO45" s="45">
        <v>1</v>
      </c>
      <c r="BP45" s="45">
        <v>1</v>
      </c>
      <c r="BQ45" s="106">
        <v>7</v>
      </c>
      <c r="BR45" s="45">
        <v>1</v>
      </c>
      <c r="BS45" s="45">
        <v>1</v>
      </c>
      <c r="BT45" s="45">
        <v>1</v>
      </c>
      <c r="BU45" s="45">
        <v>0</v>
      </c>
      <c r="BV45" s="106">
        <v>3</v>
      </c>
      <c r="BW45" s="40">
        <v>4</v>
      </c>
      <c r="BX45" s="40">
        <v>2</v>
      </c>
      <c r="BY45" s="40">
        <v>1</v>
      </c>
      <c r="BZ45" s="40">
        <v>4</v>
      </c>
      <c r="CA45" s="106">
        <v>11</v>
      </c>
      <c r="CB45" s="40">
        <v>2</v>
      </c>
      <c r="CC45" s="40">
        <v>3</v>
      </c>
      <c r="CD45" s="40">
        <v>4</v>
      </c>
      <c r="CE45" s="40">
        <v>1</v>
      </c>
      <c r="CF45" s="106">
        <v>10</v>
      </c>
      <c r="CG45" s="40">
        <v>1</v>
      </c>
      <c r="CH45" s="40">
        <v>0</v>
      </c>
      <c r="CI45" s="40">
        <v>2</v>
      </c>
      <c r="CJ45" s="40">
        <v>1</v>
      </c>
      <c r="CK45" s="40">
        <v>1</v>
      </c>
      <c r="CL45" s="106">
        <v>5</v>
      </c>
    </row>
    <row r="46" spans="1:90">
      <c r="B46" t="s">
        <v>97</v>
      </c>
      <c r="D46" t="s">
        <v>77</v>
      </c>
      <c r="E46" s="87"/>
      <c r="H46" s="40">
        <v>0</v>
      </c>
      <c r="I46" s="40">
        <v>1</v>
      </c>
      <c r="J46" s="74">
        <v>0</v>
      </c>
      <c r="K46" s="40">
        <v>0</v>
      </c>
      <c r="L46" s="40">
        <v>0</v>
      </c>
      <c r="M46" s="40">
        <v>0</v>
      </c>
      <c r="N46" s="40">
        <v>0</v>
      </c>
      <c r="O46" s="106">
        <v>0</v>
      </c>
      <c r="P46">
        <v>0</v>
      </c>
      <c r="Q46">
        <v>1</v>
      </c>
      <c r="R46">
        <v>0</v>
      </c>
      <c r="S46">
        <v>0</v>
      </c>
      <c r="T46" s="106">
        <v>1</v>
      </c>
      <c r="U46">
        <v>0</v>
      </c>
      <c r="V46" s="29">
        <v>1</v>
      </c>
      <c r="W46" s="29">
        <v>0</v>
      </c>
      <c r="X46" s="29">
        <v>0</v>
      </c>
      <c r="Y46" s="29">
        <v>1</v>
      </c>
      <c r="Z46" s="106">
        <v>1</v>
      </c>
      <c r="AA46" s="45">
        <v>1</v>
      </c>
      <c r="AB46" s="45">
        <v>0</v>
      </c>
      <c r="AC46" s="40">
        <v>0</v>
      </c>
      <c r="AD46" s="40">
        <v>0</v>
      </c>
      <c r="AE46" s="106">
        <v>2</v>
      </c>
      <c r="AF46" s="40">
        <v>0</v>
      </c>
      <c r="AG46" s="45">
        <v>1</v>
      </c>
      <c r="AH46" s="45">
        <v>0</v>
      </c>
      <c r="AI46" s="45">
        <v>0</v>
      </c>
      <c r="AJ46" s="106">
        <v>1</v>
      </c>
      <c r="AK46" s="45">
        <v>0</v>
      </c>
      <c r="AL46" s="45">
        <v>0</v>
      </c>
      <c r="AM46" s="45">
        <v>1</v>
      </c>
      <c r="AN46" s="45">
        <v>1</v>
      </c>
      <c r="AO46" s="45">
        <v>1</v>
      </c>
      <c r="AP46" s="106">
        <v>3</v>
      </c>
      <c r="AQ46" s="45">
        <v>0</v>
      </c>
      <c r="AR46" s="45">
        <v>0</v>
      </c>
      <c r="AS46" s="45">
        <v>1</v>
      </c>
      <c r="AT46" s="45">
        <v>1</v>
      </c>
      <c r="AU46" s="106">
        <f>2</f>
        <v>2</v>
      </c>
      <c r="AV46" s="45">
        <v>0</v>
      </c>
      <c r="AW46" s="45">
        <v>2</v>
      </c>
      <c r="AX46" s="45">
        <v>0</v>
      </c>
      <c r="AY46" s="45">
        <v>0</v>
      </c>
      <c r="AZ46" s="106">
        <v>2</v>
      </c>
      <c r="BA46" s="45">
        <v>0</v>
      </c>
      <c r="BB46" s="45">
        <v>0</v>
      </c>
      <c r="BC46" s="45">
        <v>1</v>
      </c>
      <c r="BD46" s="45">
        <v>1</v>
      </c>
      <c r="BE46" s="45">
        <v>0</v>
      </c>
      <c r="BF46" s="106">
        <v>2</v>
      </c>
      <c r="BG46" s="45">
        <v>1</v>
      </c>
      <c r="BH46" s="45">
        <v>1</v>
      </c>
      <c r="BI46" s="45">
        <v>0</v>
      </c>
      <c r="BJ46" s="45">
        <v>0</v>
      </c>
      <c r="BK46" s="106">
        <f>0+2</f>
        <v>2</v>
      </c>
      <c r="BL46" s="45">
        <v>0</v>
      </c>
      <c r="BM46" s="45">
        <v>0</v>
      </c>
      <c r="BN46" s="45">
        <v>1</v>
      </c>
      <c r="BO46" s="45">
        <v>0</v>
      </c>
      <c r="BP46" s="45">
        <v>1</v>
      </c>
      <c r="BQ46" s="106">
        <v>1</v>
      </c>
      <c r="BR46" s="45">
        <v>0</v>
      </c>
      <c r="BS46" s="45">
        <v>1</v>
      </c>
      <c r="BT46" s="45">
        <v>1</v>
      </c>
      <c r="BU46" s="45">
        <v>0</v>
      </c>
      <c r="BV46" s="106">
        <v>3</v>
      </c>
      <c r="BW46" s="40">
        <v>0</v>
      </c>
      <c r="BX46" s="40">
        <v>1</v>
      </c>
      <c r="BY46" s="40">
        <v>0</v>
      </c>
      <c r="BZ46" s="40">
        <v>0</v>
      </c>
      <c r="CA46" s="106">
        <v>1</v>
      </c>
      <c r="CB46" s="40">
        <v>1</v>
      </c>
      <c r="CC46" s="40">
        <v>0</v>
      </c>
      <c r="CD46" s="40">
        <v>0</v>
      </c>
      <c r="CE46" s="40">
        <v>1</v>
      </c>
      <c r="CF46" s="106">
        <v>2</v>
      </c>
      <c r="CG46" s="40">
        <v>0</v>
      </c>
      <c r="CH46" s="40">
        <v>0</v>
      </c>
      <c r="CI46" s="40">
        <v>0</v>
      </c>
      <c r="CJ46" s="40">
        <v>1</v>
      </c>
      <c r="CK46" s="40">
        <v>3</v>
      </c>
      <c r="CL46" s="106">
        <v>3</v>
      </c>
    </row>
    <row r="47" spans="1:90">
      <c r="B47" t="s">
        <v>97</v>
      </c>
      <c r="D47" t="s">
        <v>78</v>
      </c>
      <c r="E47" s="87"/>
      <c r="I47" s="40">
        <v>4</v>
      </c>
      <c r="J47" s="74">
        <v>4</v>
      </c>
      <c r="K47" s="40">
        <v>0</v>
      </c>
      <c r="L47" s="40">
        <v>0</v>
      </c>
      <c r="M47" s="40">
        <v>0</v>
      </c>
      <c r="N47" s="40">
        <v>0</v>
      </c>
      <c r="O47" s="106">
        <v>0</v>
      </c>
      <c r="P47">
        <v>0</v>
      </c>
      <c r="Q47">
        <v>1</v>
      </c>
      <c r="R47">
        <v>1</v>
      </c>
      <c r="S47">
        <v>0</v>
      </c>
      <c r="T47" s="106">
        <v>2</v>
      </c>
      <c r="U47">
        <v>0</v>
      </c>
      <c r="V47" s="29">
        <v>0</v>
      </c>
      <c r="W47" s="29">
        <v>0</v>
      </c>
      <c r="X47" s="29">
        <v>0</v>
      </c>
      <c r="Y47" s="29">
        <v>0</v>
      </c>
      <c r="Z47" s="106">
        <v>0</v>
      </c>
      <c r="AA47" s="45">
        <v>0</v>
      </c>
      <c r="AB47" s="45">
        <v>0</v>
      </c>
      <c r="AC47" s="40">
        <v>0</v>
      </c>
      <c r="AD47" s="40">
        <v>0</v>
      </c>
      <c r="AE47" s="106">
        <v>0</v>
      </c>
      <c r="AF47" s="40">
        <v>0</v>
      </c>
      <c r="AG47" s="45">
        <v>0</v>
      </c>
      <c r="AH47" s="45">
        <v>0</v>
      </c>
      <c r="AI47" s="45">
        <v>1</v>
      </c>
      <c r="AJ47" s="106">
        <f>1+0</f>
        <v>1</v>
      </c>
      <c r="AK47" s="45">
        <v>0</v>
      </c>
      <c r="AL47" s="45">
        <v>0</v>
      </c>
      <c r="AM47" s="45">
        <v>0</v>
      </c>
      <c r="AN47" s="45">
        <v>0</v>
      </c>
      <c r="AO47" s="45">
        <v>0</v>
      </c>
      <c r="AP47" s="106">
        <f>1+0</f>
        <v>1</v>
      </c>
      <c r="AQ47" s="45">
        <v>0</v>
      </c>
      <c r="AR47" s="45">
        <v>1</v>
      </c>
      <c r="AS47" s="45">
        <v>2</v>
      </c>
      <c r="AT47" s="45">
        <v>0</v>
      </c>
      <c r="AU47" s="106">
        <f>3</f>
        <v>3</v>
      </c>
      <c r="AV47" s="45">
        <v>0</v>
      </c>
      <c r="AW47" s="45">
        <v>0</v>
      </c>
      <c r="AX47" s="45">
        <v>1</v>
      </c>
      <c r="AY47" s="45">
        <v>0</v>
      </c>
      <c r="AZ47" s="106">
        <v>2</v>
      </c>
      <c r="BA47" s="45">
        <v>2</v>
      </c>
      <c r="BB47" s="45">
        <v>2</v>
      </c>
      <c r="BC47" s="45">
        <v>0</v>
      </c>
      <c r="BD47" s="45">
        <v>0</v>
      </c>
      <c r="BE47" s="45">
        <v>1</v>
      </c>
      <c r="BF47" s="106">
        <v>4</v>
      </c>
      <c r="BG47" s="45">
        <v>0</v>
      </c>
      <c r="BH47" s="45">
        <v>0</v>
      </c>
      <c r="BI47" s="45">
        <v>0</v>
      </c>
      <c r="BJ47" s="45">
        <v>0</v>
      </c>
      <c r="BK47" s="106">
        <v>0</v>
      </c>
      <c r="BL47" s="45">
        <v>0</v>
      </c>
      <c r="BM47" s="45">
        <v>0</v>
      </c>
      <c r="BN47" s="45">
        <v>0</v>
      </c>
      <c r="BO47" s="45">
        <v>0</v>
      </c>
      <c r="BP47" s="45">
        <v>0</v>
      </c>
      <c r="BQ47" s="106">
        <v>0</v>
      </c>
      <c r="BR47" s="45">
        <v>0</v>
      </c>
      <c r="BS47" s="45">
        <v>0</v>
      </c>
      <c r="BT47" s="45">
        <v>0</v>
      </c>
      <c r="BU47" s="45">
        <v>0</v>
      </c>
      <c r="BV47" s="106">
        <v>0</v>
      </c>
      <c r="BW47" s="40">
        <v>3</v>
      </c>
      <c r="BX47" s="40">
        <v>0</v>
      </c>
      <c r="BY47" s="40">
        <v>0</v>
      </c>
      <c r="BZ47" s="40">
        <v>0</v>
      </c>
      <c r="CA47" s="106">
        <v>3</v>
      </c>
      <c r="CB47" s="40">
        <v>0</v>
      </c>
      <c r="CC47" s="40">
        <v>0</v>
      </c>
      <c r="CD47" s="40">
        <v>0</v>
      </c>
      <c r="CE47" s="40">
        <v>0</v>
      </c>
      <c r="CF47" s="106">
        <v>0</v>
      </c>
      <c r="CG47" s="40">
        <v>0</v>
      </c>
      <c r="CH47" s="40">
        <v>1</v>
      </c>
      <c r="CI47" s="40">
        <v>0</v>
      </c>
      <c r="CJ47" s="40">
        <v>0</v>
      </c>
      <c r="CK47" s="40">
        <v>0</v>
      </c>
      <c r="CL47" s="106">
        <v>1</v>
      </c>
    </row>
    <row r="48" spans="1:90">
      <c r="B48" t="s">
        <v>97</v>
      </c>
      <c r="D48" t="s">
        <v>89</v>
      </c>
      <c r="E48" s="87"/>
      <c r="H48" s="40">
        <v>2</v>
      </c>
      <c r="I48" s="40">
        <v>4</v>
      </c>
      <c r="J48" s="74">
        <v>5</v>
      </c>
      <c r="K48" s="40">
        <v>2</v>
      </c>
      <c r="L48" s="40">
        <v>3</v>
      </c>
      <c r="M48" s="40">
        <v>0</v>
      </c>
      <c r="N48" s="40">
        <v>0</v>
      </c>
      <c r="O48" s="106">
        <v>5</v>
      </c>
      <c r="P48">
        <v>1</v>
      </c>
      <c r="Q48">
        <v>1</v>
      </c>
      <c r="R48">
        <v>0</v>
      </c>
      <c r="S48">
        <v>2</v>
      </c>
      <c r="T48" s="106">
        <v>5</v>
      </c>
      <c r="U48">
        <v>2</v>
      </c>
      <c r="V48" s="29">
        <v>0</v>
      </c>
      <c r="W48" s="29">
        <v>3</v>
      </c>
      <c r="X48" s="29">
        <v>0</v>
      </c>
      <c r="Y48" s="29">
        <v>3</v>
      </c>
      <c r="Z48" s="106">
        <v>6</v>
      </c>
      <c r="AA48" s="45">
        <v>0</v>
      </c>
      <c r="AB48" s="45">
        <v>0</v>
      </c>
      <c r="AC48" s="40">
        <v>1</v>
      </c>
      <c r="AD48" s="40">
        <v>1</v>
      </c>
      <c r="AE48" s="106">
        <v>3</v>
      </c>
      <c r="AF48" s="40">
        <v>1</v>
      </c>
      <c r="AG48" s="45">
        <v>0</v>
      </c>
      <c r="AH48" s="45">
        <v>2</v>
      </c>
      <c r="AI48" s="45">
        <v>0</v>
      </c>
      <c r="AJ48" s="106">
        <v>3</v>
      </c>
      <c r="AK48" s="45">
        <v>2</v>
      </c>
      <c r="AL48" s="45">
        <v>1</v>
      </c>
      <c r="AM48" s="45">
        <v>0</v>
      </c>
      <c r="AN48" s="45">
        <v>0</v>
      </c>
      <c r="AO48" s="45">
        <v>1</v>
      </c>
      <c r="AP48" s="106">
        <v>3</v>
      </c>
      <c r="AQ48" s="45">
        <v>2</v>
      </c>
      <c r="AR48" s="45">
        <v>0</v>
      </c>
      <c r="AS48" s="45">
        <v>3</v>
      </c>
      <c r="AT48" s="45">
        <v>3</v>
      </c>
      <c r="AU48" s="106">
        <f>11</f>
        <v>11</v>
      </c>
      <c r="AV48" s="45">
        <v>5</v>
      </c>
      <c r="AW48" s="45">
        <v>1</v>
      </c>
      <c r="AX48" s="45">
        <v>3</v>
      </c>
      <c r="AY48" s="45">
        <v>2</v>
      </c>
      <c r="AZ48" s="106">
        <v>10</v>
      </c>
      <c r="BA48" s="45">
        <v>1</v>
      </c>
      <c r="BB48" s="45">
        <v>0</v>
      </c>
      <c r="BC48" s="45">
        <v>0</v>
      </c>
      <c r="BD48" s="45">
        <v>0</v>
      </c>
      <c r="BE48" s="45">
        <v>2</v>
      </c>
      <c r="BF48" s="106">
        <v>2</v>
      </c>
      <c r="BG48" s="45">
        <v>1</v>
      </c>
      <c r="BH48" s="45">
        <v>5</v>
      </c>
      <c r="BI48" s="45">
        <v>0</v>
      </c>
      <c r="BJ48" s="45">
        <v>2</v>
      </c>
      <c r="BK48" s="106">
        <f>3+5</f>
        <v>8</v>
      </c>
      <c r="BL48" s="45">
        <v>2</v>
      </c>
      <c r="BM48" s="45">
        <v>1</v>
      </c>
      <c r="BN48" s="45">
        <v>1</v>
      </c>
      <c r="BO48" s="45">
        <v>1</v>
      </c>
      <c r="BP48" s="45">
        <v>0</v>
      </c>
      <c r="BQ48" s="106">
        <v>5</v>
      </c>
      <c r="BR48" s="45">
        <v>2</v>
      </c>
      <c r="BS48" s="45">
        <v>1</v>
      </c>
      <c r="BT48" s="45">
        <v>2</v>
      </c>
      <c r="BU48" s="45">
        <v>2</v>
      </c>
      <c r="BV48" s="106">
        <v>7</v>
      </c>
      <c r="BW48" s="40">
        <v>1</v>
      </c>
      <c r="BX48" s="40">
        <v>0</v>
      </c>
      <c r="BY48" s="40">
        <v>3</v>
      </c>
      <c r="BZ48" s="40">
        <v>0</v>
      </c>
      <c r="CA48" s="106">
        <v>4</v>
      </c>
      <c r="CB48" s="40">
        <v>3</v>
      </c>
      <c r="CC48" s="40">
        <v>2</v>
      </c>
      <c r="CD48" s="40">
        <v>2</v>
      </c>
      <c r="CE48" s="40">
        <v>0</v>
      </c>
      <c r="CF48" s="106">
        <v>7</v>
      </c>
      <c r="CG48" s="40">
        <v>2</v>
      </c>
      <c r="CH48" s="40">
        <v>3</v>
      </c>
      <c r="CI48" s="40">
        <v>1</v>
      </c>
      <c r="CJ48" s="40">
        <v>2</v>
      </c>
      <c r="CK48" s="40">
        <v>1</v>
      </c>
      <c r="CL48" s="106">
        <v>9</v>
      </c>
    </row>
    <row r="49" spans="1:90" s="11" customFormat="1">
      <c r="A49" s="281" t="s">
        <v>98</v>
      </c>
      <c r="B49" s="10"/>
      <c r="C49" s="33" t="s">
        <v>2</v>
      </c>
      <c r="E49" s="81"/>
      <c r="F49" s="41"/>
      <c r="G49" s="41"/>
      <c r="H49" s="41"/>
      <c r="I49" s="41"/>
      <c r="J49" s="68"/>
      <c r="K49" s="41"/>
      <c r="L49" s="41"/>
      <c r="M49" s="41"/>
      <c r="N49" s="41"/>
      <c r="O49" s="110"/>
      <c r="T49" s="101"/>
      <c r="Z49" s="101"/>
      <c r="AA49" s="41"/>
      <c r="AB49" s="41"/>
      <c r="AE49" s="101"/>
      <c r="AF49" s="41"/>
      <c r="AJ49" s="101"/>
      <c r="AK49" s="41"/>
      <c r="AP49" s="101"/>
      <c r="AU49" s="101"/>
      <c r="AZ49" s="101"/>
      <c r="BF49" s="101"/>
      <c r="BK49" s="101"/>
      <c r="BQ49" s="101"/>
      <c r="BV49" s="101"/>
      <c r="CA49" s="101"/>
      <c r="CD49" s="41"/>
      <c r="CE49" s="41"/>
      <c r="CF49" s="101"/>
      <c r="CG49" s="41"/>
      <c r="CH49" s="41"/>
      <c r="CI49" s="41"/>
      <c r="CJ49" s="41"/>
      <c r="CK49" s="41"/>
      <c r="CL49" s="101"/>
    </row>
    <row r="50" spans="1:90">
      <c r="B50" t="s">
        <v>99</v>
      </c>
      <c r="D50" t="s">
        <v>76</v>
      </c>
      <c r="E50" s="95">
        <f t="shared" ref="E50:G50" si="88">+E10*31</f>
        <v>2619.5</v>
      </c>
      <c r="F50" s="93">
        <f>+F10*30</f>
        <v>2685</v>
      </c>
      <c r="G50" s="93">
        <f t="shared" si="88"/>
        <v>2724.9</v>
      </c>
      <c r="H50" s="93">
        <f>+H10*30</f>
        <v>2634</v>
      </c>
      <c r="I50" s="93">
        <f>+I10*31</f>
        <v>2746.6</v>
      </c>
      <c r="J50" s="94">
        <v>2503</v>
      </c>
      <c r="K50" s="93">
        <f t="shared" ref="K50:M50" si="89">+K10*7</f>
        <v>546</v>
      </c>
      <c r="L50" s="93">
        <f t="shared" si="89"/>
        <v>560</v>
      </c>
      <c r="M50" s="93">
        <f t="shared" si="89"/>
        <v>567</v>
      </c>
      <c r="N50" s="93">
        <f>+N10*7</f>
        <v>574</v>
      </c>
      <c r="O50" s="120">
        <v>2214</v>
      </c>
      <c r="P50" s="125">
        <f>+P10*7</f>
        <v>574</v>
      </c>
      <c r="Q50" s="125">
        <f>+Q10*7</f>
        <v>602</v>
      </c>
      <c r="R50" s="125">
        <f>+R10*7</f>
        <v>616</v>
      </c>
      <c r="S50" s="125">
        <f>+S10*7</f>
        <v>616</v>
      </c>
      <c r="T50" s="120">
        <v>2634</v>
      </c>
      <c r="U50" s="125">
        <f>+U10*7</f>
        <v>623</v>
      </c>
      <c r="V50" s="29">
        <f>+V10*7</f>
        <v>623</v>
      </c>
      <c r="W50" s="29">
        <f>+W10*7</f>
        <v>637</v>
      </c>
      <c r="X50" s="29">
        <f>+X10*7</f>
        <v>644</v>
      </c>
      <c r="Y50" s="29">
        <f>+Y10*7</f>
        <v>616</v>
      </c>
      <c r="Z50" s="175">
        <v>2675</v>
      </c>
      <c r="AA50" s="203">
        <f>+AA10*7</f>
        <v>616</v>
      </c>
      <c r="AB50" s="203">
        <f>+AB10*7</f>
        <v>651</v>
      </c>
      <c r="AC50" s="203">
        <f>+AC10*7</f>
        <v>644</v>
      </c>
      <c r="AD50" s="203">
        <f>+AD10*7</f>
        <v>658</v>
      </c>
      <c r="AE50" s="121">
        <v>2816</v>
      </c>
      <c r="AF50" s="203">
        <f>+AF10*7</f>
        <v>651</v>
      </c>
      <c r="AG50" s="203">
        <f>+AG10*7</f>
        <v>665</v>
      </c>
      <c r="AH50" s="203">
        <f>+AH10*7</f>
        <v>686</v>
      </c>
      <c r="AI50" s="203">
        <f>+AI10*7</f>
        <v>686</v>
      </c>
      <c r="AJ50" s="121">
        <f>2885+60</f>
        <v>2945</v>
      </c>
      <c r="AK50" s="205">
        <f>+AK10*7</f>
        <v>693</v>
      </c>
      <c r="AL50" s="205">
        <f>+AL10*7</f>
        <v>658</v>
      </c>
      <c r="AM50" s="205">
        <f>+AM10*7</f>
        <v>672</v>
      </c>
      <c r="AN50" s="205">
        <f>+AN10*7</f>
        <v>700</v>
      </c>
      <c r="AO50" s="205">
        <f>+AO10*7</f>
        <v>707</v>
      </c>
      <c r="AP50" s="121">
        <v>3077</v>
      </c>
      <c r="AQ50" s="205">
        <f t="shared" ref="AQ50:AT53" si="90">+AQ10*7</f>
        <v>714</v>
      </c>
      <c r="AR50" s="205">
        <f t="shared" si="90"/>
        <v>700</v>
      </c>
      <c r="AS50" s="205">
        <f t="shared" si="90"/>
        <v>714</v>
      </c>
      <c r="AT50" s="205">
        <f t="shared" si="90"/>
        <v>742</v>
      </c>
      <c r="AU50" s="121">
        <v>3164</v>
      </c>
      <c r="AV50" s="205">
        <f t="shared" ref="AV50:AY53" si="91">+AV10*7</f>
        <v>756</v>
      </c>
      <c r="AW50" s="205">
        <f t="shared" si="91"/>
        <v>777</v>
      </c>
      <c r="AX50" s="205">
        <f t="shared" si="91"/>
        <v>784</v>
      </c>
      <c r="AY50" s="205">
        <f t="shared" si="91"/>
        <v>777</v>
      </c>
      <c r="AZ50" s="121">
        <v>3260</v>
      </c>
      <c r="BA50" s="205">
        <f t="shared" ref="BA50:BE53" si="92">+BA10*7</f>
        <v>756</v>
      </c>
      <c r="BB50" s="205">
        <f t="shared" si="92"/>
        <v>770</v>
      </c>
      <c r="BC50" s="205">
        <f t="shared" si="92"/>
        <v>798</v>
      </c>
      <c r="BD50" s="205">
        <f t="shared" si="92"/>
        <v>770</v>
      </c>
      <c r="BE50" s="205">
        <f t="shared" si="92"/>
        <v>791</v>
      </c>
      <c r="BF50" s="121">
        <v>3414</v>
      </c>
      <c r="BG50" s="205">
        <f t="shared" ref="BG50:BJ53" si="93">+BG10*7</f>
        <v>770</v>
      </c>
      <c r="BH50" s="205">
        <f t="shared" si="93"/>
        <v>784</v>
      </c>
      <c r="BI50" s="205">
        <f t="shared" si="93"/>
        <v>784</v>
      </c>
      <c r="BJ50" s="205">
        <f t="shared" si="93"/>
        <v>770</v>
      </c>
      <c r="BK50" s="120">
        <v>3295</v>
      </c>
      <c r="BL50" s="205">
        <f t="shared" ref="BL50:BP53" si="94">+BL10*7</f>
        <v>777</v>
      </c>
      <c r="BM50" s="205">
        <f t="shared" si="94"/>
        <v>798</v>
      </c>
      <c r="BN50" s="205">
        <f t="shared" si="94"/>
        <v>819</v>
      </c>
      <c r="BO50" s="205">
        <f t="shared" si="94"/>
        <v>819</v>
      </c>
      <c r="BP50" s="205">
        <f t="shared" si="94"/>
        <v>826</v>
      </c>
      <c r="BQ50" s="120">
        <v>3555</v>
      </c>
      <c r="BR50" s="205">
        <f t="shared" ref="BR50:BU53" si="95">+BR10*7</f>
        <v>819</v>
      </c>
      <c r="BS50" s="205">
        <f t="shared" si="95"/>
        <v>819</v>
      </c>
      <c r="BT50" s="205">
        <f t="shared" si="95"/>
        <v>819</v>
      </c>
      <c r="BU50" s="205">
        <f t="shared" si="95"/>
        <v>805</v>
      </c>
      <c r="BV50" s="120">
        <v>3578</v>
      </c>
      <c r="BW50" s="205">
        <f t="shared" ref="BW50:BZ53" si="96">+BW10*7</f>
        <v>812</v>
      </c>
      <c r="BX50" s="205">
        <f t="shared" si="96"/>
        <v>847</v>
      </c>
      <c r="BY50" s="205">
        <f t="shared" si="96"/>
        <v>854</v>
      </c>
      <c r="BZ50" s="205">
        <f t="shared" si="96"/>
        <v>861</v>
      </c>
      <c r="CA50" s="120">
        <v>3359</v>
      </c>
      <c r="CB50" s="205">
        <f t="shared" ref="CB50:CE53" si="97">+CB10*7</f>
        <v>896</v>
      </c>
      <c r="CC50" s="205">
        <f t="shared" si="97"/>
        <v>896</v>
      </c>
      <c r="CD50" s="205">
        <f t="shared" si="97"/>
        <v>875</v>
      </c>
      <c r="CE50" s="205">
        <f t="shared" si="97"/>
        <v>868</v>
      </c>
      <c r="CF50" s="120">
        <v>3881</v>
      </c>
      <c r="CG50" s="205">
        <f t="shared" ref="CG50:CH53" si="98">+CG10*7</f>
        <v>875</v>
      </c>
      <c r="CH50" s="205">
        <f t="shared" si="98"/>
        <v>875</v>
      </c>
      <c r="CI50" s="205">
        <f t="shared" ref="CI50:CJ50" si="99">+CI10*7</f>
        <v>875</v>
      </c>
      <c r="CJ50" s="205">
        <f t="shared" si="99"/>
        <v>840</v>
      </c>
      <c r="CK50" s="205">
        <f t="shared" ref="CK50" si="100">+CK10*7</f>
        <v>840</v>
      </c>
      <c r="CL50" s="120">
        <v>3697</v>
      </c>
    </row>
    <row r="51" spans="1:90">
      <c r="B51" t="s">
        <v>99</v>
      </c>
      <c r="D51" t="s">
        <v>77</v>
      </c>
      <c r="E51" s="95">
        <f t="shared" ref="E51" si="101">+E11*31</f>
        <v>1102.98</v>
      </c>
      <c r="F51" s="93">
        <f>+F11*30</f>
        <v>972.9</v>
      </c>
      <c r="G51" s="93">
        <f t="shared" ref="G51" si="102">+G11*31</f>
        <v>1114.1399999999999</v>
      </c>
      <c r="H51" s="93">
        <f>+H11*30</f>
        <v>945</v>
      </c>
      <c r="I51" s="93">
        <f t="shared" ref="I51" si="103">+I11*31</f>
        <v>998.2</v>
      </c>
      <c r="J51" s="94">
        <v>1136</v>
      </c>
      <c r="K51" s="93">
        <f t="shared" ref="K51:N51" si="104">+K11*7</f>
        <v>252</v>
      </c>
      <c r="L51" s="93">
        <f t="shared" si="104"/>
        <v>252</v>
      </c>
      <c r="M51" s="93">
        <f t="shared" si="104"/>
        <v>266</v>
      </c>
      <c r="N51" s="93">
        <f t="shared" si="104"/>
        <v>256.2</v>
      </c>
      <c r="O51" s="121">
        <v>1054</v>
      </c>
      <c r="P51" s="125">
        <f>+P11*7</f>
        <v>253.40000000000003</v>
      </c>
      <c r="Q51" s="125">
        <f t="shared" ref="Q51:R51" si="105">+Q11*7</f>
        <v>238</v>
      </c>
      <c r="R51" s="125">
        <f t="shared" si="105"/>
        <v>238</v>
      </c>
      <c r="S51" s="125">
        <f t="shared" ref="S51" si="106">+S11*7</f>
        <v>231</v>
      </c>
      <c r="T51" s="120">
        <v>1096</v>
      </c>
      <c r="U51" s="125">
        <f t="shared" ref="U51:V51" si="107">+U11*7</f>
        <v>224</v>
      </c>
      <c r="V51" s="29">
        <f t="shared" si="107"/>
        <v>224</v>
      </c>
      <c r="W51" s="29">
        <f t="shared" ref="W51:X51" si="108">+W11*7</f>
        <v>224</v>
      </c>
      <c r="X51" s="29">
        <f t="shared" si="108"/>
        <v>231</v>
      </c>
      <c r="Y51" s="29">
        <f t="shared" ref="Y51" si="109">+Y11*7</f>
        <v>231</v>
      </c>
      <c r="Z51" s="175">
        <v>999</v>
      </c>
      <c r="AA51" s="203">
        <f t="shared" ref="AA51:AB51" si="110">+AA11*7</f>
        <v>217</v>
      </c>
      <c r="AB51" s="203">
        <f t="shared" si="110"/>
        <v>217</v>
      </c>
      <c r="AC51" s="203">
        <f t="shared" ref="AC51:AD51" si="111">+AC11*7</f>
        <v>231</v>
      </c>
      <c r="AD51" s="203">
        <f t="shared" si="111"/>
        <v>245</v>
      </c>
      <c r="AE51" s="121">
        <v>1048</v>
      </c>
      <c r="AF51" s="203">
        <f t="shared" ref="AF51:AG51" si="112">+AF11*7</f>
        <v>245</v>
      </c>
      <c r="AG51" s="203">
        <f t="shared" si="112"/>
        <v>259</v>
      </c>
      <c r="AH51" s="203">
        <f t="shared" ref="AH51:AI51" si="113">+AH11*7</f>
        <v>259</v>
      </c>
      <c r="AI51" s="203">
        <f t="shared" si="113"/>
        <v>266</v>
      </c>
      <c r="AJ51" s="121">
        <f>1102+30</f>
        <v>1132</v>
      </c>
      <c r="AK51" s="205">
        <f t="shared" ref="AK51" si="114">+AK11*7</f>
        <v>259</v>
      </c>
      <c r="AL51" s="205">
        <f t="shared" ref="AL51:AO53" si="115">+AL11*7</f>
        <v>273</v>
      </c>
      <c r="AM51" s="205">
        <f t="shared" si="115"/>
        <v>273</v>
      </c>
      <c r="AN51" s="205">
        <f t="shared" si="115"/>
        <v>273</v>
      </c>
      <c r="AO51" s="205">
        <f t="shared" si="115"/>
        <v>273</v>
      </c>
      <c r="AP51" s="121">
        <f>1205+31</f>
        <v>1236</v>
      </c>
      <c r="AQ51" s="205">
        <f t="shared" si="90"/>
        <v>294</v>
      </c>
      <c r="AR51" s="205">
        <f t="shared" si="90"/>
        <v>315</v>
      </c>
      <c r="AS51" s="205">
        <f t="shared" si="90"/>
        <v>336</v>
      </c>
      <c r="AT51" s="205">
        <f t="shared" si="90"/>
        <v>329</v>
      </c>
      <c r="AU51" s="121">
        <f>1352+43</f>
        <v>1395</v>
      </c>
      <c r="AV51" s="205">
        <f t="shared" si="91"/>
        <v>322</v>
      </c>
      <c r="AW51" s="205">
        <f t="shared" si="91"/>
        <v>322</v>
      </c>
      <c r="AX51" s="205">
        <f t="shared" si="91"/>
        <v>336</v>
      </c>
      <c r="AY51" s="205">
        <f t="shared" si="91"/>
        <v>329</v>
      </c>
      <c r="AZ51" s="121">
        <f>1369+30</f>
        <v>1399</v>
      </c>
      <c r="BA51" s="205">
        <f t="shared" si="92"/>
        <v>322</v>
      </c>
      <c r="BB51" s="205">
        <f t="shared" si="92"/>
        <v>308</v>
      </c>
      <c r="BC51" s="205">
        <f t="shared" si="92"/>
        <v>315</v>
      </c>
      <c r="BD51" s="205">
        <f t="shared" si="92"/>
        <v>315</v>
      </c>
      <c r="BE51" s="205">
        <f t="shared" si="92"/>
        <v>315</v>
      </c>
      <c r="BF51" s="121">
        <v>1387</v>
      </c>
      <c r="BG51" s="205">
        <f t="shared" si="93"/>
        <v>322</v>
      </c>
      <c r="BH51" s="205">
        <f t="shared" si="93"/>
        <v>308</v>
      </c>
      <c r="BI51" s="205">
        <f t="shared" si="93"/>
        <v>301</v>
      </c>
      <c r="BJ51" s="205">
        <f t="shared" si="93"/>
        <v>301</v>
      </c>
      <c r="BK51" s="120">
        <f>30+1282</f>
        <v>1312</v>
      </c>
      <c r="BL51" s="205">
        <f t="shared" si="94"/>
        <v>287</v>
      </c>
      <c r="BM51" s="205">
        <f t="shared" si="94"/>
        <v>301</v>
      </c>
      <c r="BN51" s="205">
        <f t="shared" si="94"/>
        <v>308</v>
      </c>
      <c r="BO51" s="205">
        <f t="shared" si="94"/>
        <v>308</v>
      </c>
      <c r="BP51" s="205">
        <f t="shared" si="94"/>
        <v>308</v>
      </c>
      <c r="BQ51" s="120">
        <v>1340</v>
      </c>
      <c r="BR51" s="205">
        <f t="shared" si="95"/>
        <v>294</v>
      </c>
      <c r="BS51" s="205">
        <f t="shared" si="95"/>
        <v>280</v>
      </c>
      <c r="BT51" s="205">
        <f t="shared" si="95"/>
        <v>273</v>
      </c>
      <c r="BU51" s="205">
        <f t="shared" si="95"/>
        <v>266</v>
      </c>
      <c r="BV51" s="120">
        <f>1209+31</f>
        <v>1240</v>
      </c>
      <c r="BW51" s="205">
        <f t="shared" si="96"/>
        <v>273</v>
      </c>
      <c r="BX51" s="205">
        <f t="shared" si="96"/>
        <v>294</v>
      </c>
      <c r="BY51" s="205">
        <f t="shared" si="96"/>
        <v>294</v>
      </c>
      <c r="BZ51" s="205">
        <f t="shared" si="96"/>
        <v>301</v>
      </c>
      <c r="CA51" s="120">
        <v>1157</v>
      </c>
      <c r="CB51" s="205">
        <f t="shared" si="97"/>
        <v>308</v>
      </c>
      <c r="CC51" s="205">
        <f t="shared" si="97"/>
        <v>308</v>
      </c>
      <c r="CD51" s="205">
        <f t="shared" si="97"/>
        <v>315</v>
      </c>
      <c r="CE51" s="205">
        <f t="shared" si="97"/>
        <v>322</v>
      </c>
      <c r="CF51" s="120">
        <v>1393</v>
      </c>
      <c r="CG51" s="205">
        <f t="shared" si="98"/>
        <v>322</v>
      </c>
      <c r="CH51" s="205">
        <f t="shared" si="98"/>
        <v>322</v>
      </c>
      <c r="CI51" s="205">
        <f t="shared" ref="CI51:CJ51" si="116">+CI11*7</f>
        <v>329</v>
      </c>
      <c r="CJ51" s="205">
        <f t="shared" si="116"/>
        <v>350</v>
      </c>
      <c r="CK51" s="205">
        <f t="shared" ref="CK51" si="117">+CK11*7</f>
        <v>364</v>
      </c>
      <c r="CL51" s="120">
        <v>1443</v>
      </c>
    </row>
    <row r="52" spans="1:90">
      <c r="B52" t="s">
        <v>99</v>
      </c>
      <c r="D52" t="s">
        <v>78</v>
      </c>
      <c r="E52" s="95">
        <f t="shared" ref="E52" si="118">+E12*31</f>
        <v>637.05000000000007</v>
      </c>
      <c r="F52" s="93">
        <f>+F12*30</f>
        <v>686.1</v>
      </c>
      <c r="G52" s="93">
        <f t="shared" ref="G52" si="119">+G12*31</f>
        <v>850.94999999999993</v>
      </c>
      <c r="H52" s="93">
        <f>+H12*30</f>
        <v>669.9</v>
      </c>
      <c r="I52" s="93">
        <f t="shared" ref="I52:J52" si="120">+I12*31</f>
        <v>796.69999999999993</v>
      </c>
      <c r="J52" s="94">
        <f t="shared" si="120"/>
        <v>793.6</v>
      </c>
      <c r="K52" s="93">
        <f t="shared" ref="K52:N52" si="121">+K12*7</f>
        <v>171.5</v>
      </c>
      <c r="L52" s="93">
        <f t="shared" si="121"/>
        <v>175</v>
      </c>
      <c r="M52" s="93">
        <f t="shared" si="121"/>
        <v>168</v>
      </c>
      <c r="N52" s="93">
        <f t="shared" si="121"/>
        <v>182</v>
      </c>
      <c r="O52" s="121">
        <v>680</v>
      </c>
      <c r="P52" s="125">
        <f>+P12*7</f>
        <v>166.6</v>
      </c>
      <c r="Q52" s="125">
        <f t="shared" ref="Q52:R52" si="122">+Q12*7</f>
        <v>175</v>
      </c>
      <c r="R52" s="125">
        <f t="shared" si="122"/>
        <v>182</v>
      </c>
      <c r="S52" s="125">
        <f t="shared" ref="S52" si="123">+S12*7</f>
        <v>189</v>
      </c>
      <c r="T52" s="120">
        <v>770</v>
      </c>
      <c r="U52" s="125">
        <f t="shared" ref="U52:V52" si="124">+U12*7</f>
        <v>203</v>
      </c>
      <c r="V52" s="29">
        <f t="shared" si="124"/>
        <v>210</v>
      </c>
      <c r="W52" s="29">
        <f t="shared" ref="W52:X52" si="125">+W12*7</f>
        <v>196</v>
      </c>
      <c r="X52" s="29">
        <f t="shared" si="125"/>
        <v>196</v>
      </c>
      <c r="Y52" s="29">
        <f t="shared" ref="Y52" si="126">+Y12*7</f>
        <v>189</v>
      </c>
      <c r="Z52" s="175">
        <v>864</v>
      </c>
      <c r="AA52" s="203">
        <f t="shared" ref="AA52:AB52" si="127">+AA12*7</f>
        <v>189</v>
      </c>
      <c r="AB52" s="203">
        <f t="shared" si="127"/>
        <v>203</v>
      </c>
      <c r="AC52" s="203">
        <f t="shared" ref="AC52:AD52" si="128">+AC12*7</f>
        <v>217</v>
      </c>
      <c r="AD52" s="203">
        <f t="shared" si="128"/>
        <v>217</v>
      </c>
      <c r="AE52" s="121">
        <v>958</v>
      </c>
      <c r="AF52" s="203">
        <f t="shared" ref="AF52:AG52" si="129">+AF12*7</f>
        <v>217</v>
      </c>
      <c r="AG52" s="203">
        <f t="shared" si="129"/>
        <v>224</v>
      </c>
      <c r="AH52" s="203">
        <f t="shared" ref="AH52:AI52" si="130">+AH12*7</f>
        <v>245</v>
      </c>
      <c r="AI52" s="203">
        <f t="shared" si="130"/>
        <v>238</v>
      </c>
      <c r="AJ52" s="121">
        <f>1018+60</f>
        <v>1078</v>
      </c>
      <c r="AK52" s="205">
        <f t="shared" ref="AK52" si="131">+AK12*7</f>
        <v>238</v>
      </c>
      <c r="AL52" s="205">
        <f t="shared" si="115"/>
        <v>231</v>
      </c>
      <c r="AM52" s="205">
        <f t="shared" si="115"/>
        <v>252</v>
      </c>
      <c r="AN52" s="205">
        <f t="shared" si="115"/>
        <v>259</v>
      </c>
      <c r="AO52" s="205">
        <f t="shared" si="115"/>
        <v>273</v>
      </c>
      <c r="AP52" s="121">
        <f>1104+58</f>
        <v>1162</v>
      </c>
      <c r="AQ52" s="205">
        <f t="shared" si="90"/>
        <v>266</v>
      </c>
      <c r="AR52" s="205">
        <f t="shared" si="90"/>
        <v>259</v>
      </c>
      <c r="AS52" s="205">
        <f t="shared" si="90"/>
        <v>259</v>
      </c>
      <c r="AT52" s="205">
        <f t="shared" si="90"/>
        <v>259</v>
      </c>
      <c r="AU52" s="121">
        <f>1123+26</f>
        <v>1149</v>
      </c>
      <c r="AV52" s="205">
        <f t="shared" si="91"/>
        <v>245</v>
      </c>
      <c r="AW52" s="205">
        <f t="shared" si="91"/>
        <v>224</v>
      </c>
      <c r="AX52" s="205">
        <f t="shared" si="91"/>
        <v>224</v>
      </c>
      <c r="AY52" s="205">
        <f t="shared" si="91"/>
        <v>217</v>
      </c>
      <c r="AZ52" s="121">
        <v>927</v>
      </c>
      <c r="BA52" s="205">
        <f t="shared" si="92"/>
        <v>189</v>
      </c>
      <c r="BB52" s="205">
        <f t="shared" si="92"/>
        <v>182</v>
      </c>
      <c r="BC52" s="205">
        <f t="shared" si="92"/>
        <v>182</v>
      </c>
      <c r="BD52" s="205">
        <f t="shared" si="92"/>
        <v>182</v>
      </c>
      <c r="BE52" s="205">
        <f t="shared" si="92"/>
        <v>175</v>
      </c>
      <c r="BF52" s="121">
        <v>773</v>
      </c>
      <c r="BG52" s="205">
        <f t="shared" si="93"/>
        <v>175</v>
      </c>
      <c r="BH52" s="205">
        <f t="shared" si="93"/>
        <v>168</v>
      </c>
      <c r="BI52" s="205">
        <f t="shared" si="93"/>
        <v>168</v>
      </c>
      <c r="BJ52" s="205">
        <f t="shared" si="93"/>
        <v>175</v>
      </c>
      <c r="BK52" s="120">
        <v>707</v>
      </c>
      <c r="BL52" s="205">
        <f t="shared" si="94"/>
        <v>182</v>
      </c>
      <c r="BM52" s="205">
        <f t="shared" si="94"/>
        <v>182</v>
      </c>
      <c r="BN52" s="205">
        <f t="shared" si="94"/>
        <v>175</v>
      </c>
      <c r="BO52" s="205">
        <f t="shared" si="94"/>
        <v>168</v>
      </c>
      <c r="BP52" s="205">
        <f t="shared" si="94"/>
        <v>175</v>
      </c>
      <c r="BQ52" s="120">
        <v>741</v>
      </c>
      <c r="BR52" s="205">
        <f t="shared" si="95"/>
        <v>175</v>
      </c>
      <c r="BS52" s="205">
        <f t="shared" si="95"/>
        <v>175</v>
      </c>
      <c r="BT52" s="205">
        <f t="shared" si="95"/>
        <v>168</v>
      </c>
      <c r="BU52" s="205">
        <f t="shared" si="95"/>
        <v>175</v>
      </c>
      <c r="BV52" s="120">
        <v>756</v>
      </c>
      <c r="BW52" s="205">
        <f t="shared" si="96"/>
        <v>154</v>
      </c>
      <c r="BX52" s="205">
        <f t="shared" si="96"/>
        <v>140</v>
      </c>
      <c r="BY52" s="205">
        <f t="shared" si="96"/>
        <v>126</v>
      </c>
      <c r="BZ52" s="205">
        <f t="shared" si="96"/>
        <v>126</v>
      </c>
      <c r="CA52" s="120">
        <v>549</v>
      </c>
      <c r="CB52" s="205">
        <f t="shared" si="97"/>
        <v>119</v>
      </c>
      <c r="CC52" s="205">
        <f t="shared" si="97"/>
        <v>126</v>
      </c>
      <c r="CD52" s="205">
        <f t="shared" si="97"/>
        <v>126</v>
      </c>
      <c r="CE52" s="205">
        <f t="shared" si="97"/>
        <v>133</v>
      </c>
      <c r="CF52" s="120">
        <v>561</v>
      </c>
      <c r="CG52" s="205">
        <f t="shared" si="98"/>
        <v>133</v>
      </c>
      <c r="CH52" s="205">
        <f t="shared" si="98"/>
        <v>140</v>
      </c>
      <c r="CI52" s="205">
        <f t="shared" ref="CI52:CJ52" si="132">+CI12*7</f>
        <v>126</v>
      </c>
      <c r="CJ52" s="205">
        <f t="shared" si="132"/>
        <v>126</v>
      </c>
      <c r="CK52" s="205">
        <f t="shared" ref="CK52" si="133">+CK12*7</f>
        <v>147</v>
      </c>
      <c r="CL52" s="120">
        <v>566</v>
      </c>
    </row>
    <row r="53" spans="1:90">
      <c r="B53" t="s">
        <v>99</v>
      </c>
      <c r="D53" t="s">
        <v>89</v>
      </c>
      <c r="E53" s="95">
        <f t="shared" ref="E53" si="134">+E13*31</f>
        <v>1869.92</v>
      </c>
      <c r="F53" s="93">
        <f t="shared" ref="F53" si="135">+F13*30</f>
        <v>1923.8999999999999</v>
      </c>
      <c r="G53" s="93">
        <f t="shared" ref="G53" si="136">+G13*31</f>
        <v>2250.91</v>
      </c>
      <c r="H53" s="93">
        <f t="shared" ref="H53" si="137">+H13*30</f>
        <v>2052</v>
      </c>
      <c r="I53" s="93">
        <f t="shared" ref="I53:J53" si="138">+I13*31</f>
        <v>2266.1</v>
      </c>
      <c r="J53" s="94">
        <f t="shared" si="138"/>
        <v>2263</v>
      </c>
      <c r="K53" s="93">
        <f t="shared" ref="K53:N53" si="139">+K13*7</f>
        <v>525</v>
      </c>
      <c r="L53" s="93">
        <f t="shared" si="139"/>
        <v>518</v>
      </c>
      <c r="M53" s="93">
        <f t="shared" si="139"/>
        <v>518</v>
      </c>
      <c r="N53" s="93">
        <f t="shared" si="139"/>
        <v>518</v>
      </c>
      <c r="O53" s="121">
        <f t="shared" ref="O53" si="140">+O13*28</f>
        <v>1990.7999999999997</v>
      </c>
      <c r="P53" s="125">
        <f t="shared" ref="P53" si="141">+P13*7</f>
        <v>567</v>
      </c>
      <c r="Q53" s="125">
        <f t="shared" ref="Q53:R53" si="142">+Q13*7</f>
        <v>602</v>
      </c>
      <c r="R53" s="125">
        <f t="shared" si="142"/>
        <v>588</v>
      </c>
      <c r="S53" s="125">
        <f t="shared" ref="S53" si="143">+S13*7</f>
        <v>581</v>
      </c>
      <c r="T53" s="120">
        <v>2573</v>
      </c>
      <c r="U53" s="125">
        <f t="shared" ref="U53:V53" si="144">+U13*7</f>
        <v>574</v>
      </c>
      <c r="V53" s="29">
        <f t="shared" si="144"/>
        <v>595</v>
      </c>
      <c r="W53" s="29">
        <f t="shared" ref="W53:X53" si="145">+W13*7</f>
        <v>616</v>
      </c>
      <c r="X53" s="29">
        <f t="shared" si="145"/>
        <v>623</v>
      </c>
      <c r="Y53" s="29">
        <f t="shared" ref="Y53" si="146">+Y13*7</f>
        <v>644</v>
      </c>
      <c r="Z53" s="175">
        <v>2588</v>
      </c>
      <c r="AA53" s="203">
        <f t="shared" ref="AA53:AB53" si="147">+AA13*7</f>
        <v>623</v>
      </c>
      <c r="AB53" s="203">
        <f t="shared" si="147"/>
        <v>630</v>
      </c>
      <c r="AC53" s="203">
        <f t="shared" ref="AC53:AD53" si="148">+AC13*7</f>
        <v>651</v>
      </c>
      <c r="AD53" s="203">
        <f t="shared" si="148"/>
        <v>686</v>
      </c>
      <c r="AE53" s="121">
        <v>2869</v>
      </c>
      <c r="AF53" s="203">
        <f t="shared" ref="AF53:AG53" si="149">+AF13*7</f>
        <v>700</v>
      </c>
      <c r="AG53" s="203">
        <f t="shared" si="149"/>
        <v>700</v>
      </c>
      <c r="AH53" s="203">
        <f t="shared" ref="AH53:AI53" si="150">+AH13*7</f>
        <v>686</v>
      </c>
      <c r="AI53" s="203">
        <f t="shared" si="150"/>
        <v>679</v>
      </c>
      <c r="AJ53" s="121">
        <v>2949</v>
      </c>
      <c r="AK53" s="205">
        <f t="shared" ref="AK53" si="151">+AK13*7</f>
        <v>665</v>
      </c>
      <c r="AL53" s="205">
        <f t="shared" si="115"/>
        <v>672</v>
      </c>
      <c r="AM53" s="205">
        <f t="shared" si="115"/>
        <v>686</v>
      </c>
      <c r="AN53" s="205">
        <f t="shared" si="115"/>
        <v>686</v>
      </c>
      <c r="AO53" s="205">
        <f t="shared" si="115"/>
        <v>721</v>
      </c>
      <c r="AP53" s="121">
        <v>3013</v>
      </c>
      <c r="AQ53" s="205">
        <f t="shared" si="90"/>
        <v>707</v>
      </c>
      <c r="AR53" s="205">
        <f t="shared" si="90"/>
        <v>693</v>
      </c>
      <c r="AS53" s="205">
        <f t="shared" si="90"/>
        <v>679</v>
      </c>
      <c r="AT53" s="205">
        <f t="shared" si="90"/>
        <v>672</v>
      </c>
      <c r="AU53" s="121">
        <f>2290+764</f>
        <v>3054</v>
      </c>
      <c r="AV53" s="205">
        <f t="shared" si="91"/>
        <v>637</v>
      </c>
      <c r="AW53" s="205">
        <f t="shared" si="91"/>
        <v>637</v>
      </c>
      <c r="AX53" s="205">
        <f t="shared" si="91"/>
        <v>637</v>
      </c>
      <c r="AY53" s="205">
        <f t="shared" si="91"/>
        <v>623</v>
      </c>
      <c r="AZ53" s="121">
        <v>2690</v>
      </c>
      <c r="BA53" s="205">
        <f t="shared" si="92"/>
        <v>602</v>
      </c>
      <c r="BB53" s="205">
        <f t="shared" si="92"/>
        <v>630</v>
      </c>
      <c r="BC53" s="205">
        <f t="shared" si="92"/>
        <v>644</v>
      </c>
      <c r="BD53" s="205">
        <f t="shared" si="92"/>
        <v>651</v>
      </c>
      <c r="BE53" s="205">
        <f t="shared" si="92"/>
        <v>665</v>
      </c>
      <c r="BF53" s="121">
        <v>2834</v>
      </c>
      <c r="BG53" s="205">
        <f t="shared" si="93"/>
        <v>658</v>
      </c>
      <c r="BH53" s="205">
        <f t="shared" si="93"/>
        <v>644</v>
      </c>
      <c r="BI53" s="205">
        <f t="shared" si="93"/>
        <v>630</v>
      </c>
      <c r="BJ53" s="205">
        <f t="shared" si="93"/>
        <v>637</v>
      </c>
      <c r="BK53" s="120">
        <f>1658+1098</f>
        <v>2756</v>
      </c>
      <c r="BL53" s="205">
        <f t="shared" si="94"/>
        <v>637</v>
      </c>
      <c r="BM53" s="205">
        <f t="shared" si="94"/>
        <v>630</v>
      </c>
      <c r="BN53" s="205">
        <f t="shared" si="94"/>
        <v>672</v>
      </c>
      <c r="BO53" s="205">
        <f t="shared" si="94"/>
        <v>672</v>
      </c>
      <c r="BP53" s="205">
        <f t="shared" si="94"/>
        <v>686</v>
      </c>
      <c r="BQ53" s="120">
        <v>2915</v>
      </c>
      <c r="BR53" s="205">
        <f t="shared" si="95"/>
        <v>672</v>
      </c>
      <c r="BS53" s="205">
        <f t="shared" si="95"/>
        <v>665</v>
      </c>
      <c r="BT53" s="205">
        <f t="shared" si="95"/>
        <v>686</v>
      </c>
      <c r="BU53" s="205">
        <f t="shared" si="95"/>
        <v>693</v>
      </c>
      <c r="BV53" s="120">
        <v>3019</v>
      </c>
      <c r="BW53" s="205">
        <f t="shared" si="96"/>
        <v>700</v>
      </c>
      <c r="BX53" s="205">
        <f t="shared" si="96"/>
        <v>693</v>
      </c>
      <c r="BY53" s="205">
        <f t="shared" si="96"/>
        <v>686</v>
      </c>
      <c r="BZ53" s="205">
        <f t="shared" si="96"/>
        <v>679</v>
      </c>
      <c r="CA53" s="120">
        <v>2756</v>
      </c>
      <c r="CB53" s="205">
        <f t="shared" si="97"/>
        <v>679</v>
      </c>
      <c r="CC53" s="205">
        <f t="shared" si="97"/>
        <v>644</v>
      </c>
      <c r="CD53" s="205">
        <f t="shared" si="97"/>
        <v>637</v>
      </c>
      <c r="CE53" s="205">
        <f t="shared" si="97"/>
        <v>637</v>
      </c>
      <c r="CF53" s="120">
        <v>2873</v>
      </c>
      <c r="CG53" s="205">
        <f t="shared" si="98"/>
        <v>644</v>
      </c>
      <c r="CH53" s="205">
        <f t="shared" si="98"/>
        <v>602</v>
      </c>
      <c r="CI53" s="205">
        <f t="shared" ref="CI53:CJ53" si="152">+CI13*7</f>
        <v>602</v>
      </c>
      <c r="CJ53" s="205">
        <f t="shared" si="152"/>
        <v>581</v>
      </c>
      <c r="CK53" s="205">
        <f t="shared" ref="CK53" si="153">+CK13*7</f>
        <v>574</v>
      </c>
      <c r="CL53" s="120">
        <v>2561</v>
      </c>
    </row>
    <row r="54" spans="1:90">
      <c r="B54" t="s">
        <v>99</v>
      </c>
      <c r="D54" s="9" t="s">
        <v>85</v>
      </c>
      <c r="E54" s="96">
        <f t="shared" ref="E54:N54" si="154">SUM(E50:E53)</f>
        <v>6229.45</v>
      </c>
      <c r="F54" s="97">
        <f t="shared" si="154"/>
        <v>6267.9</v>
      </c>
      <c r="G54" s="97">
        <f t="shared" si="154"/>
        <v>6940.9</v>
      </c>
      <c r="H54" s="97">
        <f t="shared" si="154"/>
        <v>6300.9</v>
      </c>
      <c r="I54" s="97">
        <f t="shared" si="154"/>
        <v>6807.6</v>
      </c>
      <c r="J54" s="98">
        <f t="shared" si="154"/>
        <v>6695.6</v>
      </c>
      <c r="K54" s="97">
        <f t="shared" si="154"/>
        <v>1494.5</v>
      </c>
      <c r="L54" s="97">
        <f t="shared" si="154"/>
        <v>1505</v>
      </c>
      <c r="M54" s="97">
        <f t="shared" si="154"/>
        <v>1519</v>
      </c>
      <c r="N54" s="97">
        <f t="shared" si="154"/>
        <v>1530.2</v>
      </c>
      <c r="O54" s="122">
        <f>+O53+O52+O51+O50</f>
        <v>5938.7999999999993</v>
      </c>
      <c r="P54" s="144">
        <f>SUM(P50:P53)</f>
        <v>1561</v>
      </c>
      <c r="Q54" s="127">
        <f>SUM(Q50:Q53)</f>
        <v>1617</v>
      </c>
      <c r="R54" s="127">
        <f>SUM(R50:R53)</f>
        <v>1624</v>
      </c>
      <c r="S54" s="127">
        <f>SUM(S50:S53)</f>
        <v>1617</v>
      </c>
      <c r="T54" s="149">
        <f>T50+T51+T52+T53</f>
        <v>7073</v>
      </c>
      <c r="U54" s="127">
        <f>SUM(U50:U53)</f>
        <v>1624</v>
      </c>
      <c r="V54" s="127">
        <f>SUM(V50:V53)</f>
        <v>1652</v>
      </c>
      <c r="W54" s="127">
        <f>SUM(W50:W53)</f>
        <v>1673</v>
      </c>
      <c r="X54" s="127">
        <f>SUM(X50:X53)</f>
        <v>1694</v>
      </c>
      <c r="Y54" s="127">
        <f>SUM(Y50:Y53)</f>
        <v>1680</v>
      </c>
      <c r="Z54" s="149">
        <f>Z50+Z51+Z52+Z53</f>
        <v>7126</v>
      </c>
      <c r="AA54" s="97">
        <f>SUM(AA50:AA53)</f>
        <v>1645</v>
      </c>
      <c r="AB54" s="97">
        <f>SUM(AB50:AB53)</f>
        <v>1701</v>
      </c>
      <c r="AC54" s="97">
        <f>SUM(AC50:AC53)</f>
        <v>1743</v>
      </c>
      <c r="AD54" s="97">
        <f>SUM(AD50:AD53)</f>
        <v>1806</v>
      </c>
      <c r="AE54" s="122">
        <f>AE50+AE51+AE52+AE53</f>
        <v>7691</v>
      </c>
      <c r="AF54" s="97">
        <f>SUM(AF50:AF53)</f>
        <v>1813</v>
      </c>
      <c r="AG54" s="97">
        <f>SUM(AG50:AG53)</f>
        <v>1848</v>
      </c>
      <c r="AH54" s="97">
        <f>SUM(AH50:AH53)</f>
        <v>1876</v>
      </c>
      <c r="AI54" s="97">
        <f>SUM(AI50:AI53)</f>
        <v>1869</v>
      </c>
      <c r="AJ54" s="122">
        <f>AJ50+AJ51+AJ52+AJ53</f>
        <v>8104</v>
      </c>
      <c r="AK54" s="97">
        <f>SUM(AK50:AK53)</f>
        <v>1855</v>
      </c>
      <c r="AL54" s="97">
        <f>SUM(AL50:AL53)</f>
        <v>1834</v>
      </c>
      <c r="AM54" s="97">
        <f>SUM(AM50:AM53)</f>
        <v>1883</v>
      </c>
      <c r="AN54" s="97">
        <f>SUM(AN50:AN53)</f>
        <v>1918</v>
      </c>
      <c r="AO54" s="97">
        <f>SUM(AO50:AO53)</f>
        <v>1974</v>
      </c>
      <c r="AP54" s="122">
        <f>AP50+AP51+AP52+AP53</f>
        <v>8488</v>
      </c>
      <c r="AQ54" s="97">
        <f>SUM(AQ50:AQ53)</f>
        <v>1981</v>
      </c>
      <c r="AR54" s="97">
        <f>SUM(AR50:AR53)</f>
        <v>1967</v>
      </c>
      <c r="AS54" s="97">
        <f>SUM(AS50:AS53)</f>
        <v>1988</v>
      </c>
      <c r="AT54" s="97">
        <f>SUM(AT50:AT53)</f>
        <v>2002</v>
      </c>
      <c r="AU54" s="122">
        <f>AU50+AU51+AU52+AU53</f>
        <v>8762</v>
      </c>
      <c r="AV54" s="97">
        <f>SUM(AV50:AV53)</f>
        <v>1960</v>
      </c>
      <c r="AW54" s="97">
        <f>SUM(AW50:AW53)</f>
        <v>1960</v>
      </c>
      <c r="AX54" s="97">
        <f>SUM(AX50:AX53)</f>
        <v>1981</v>
      </c>
      <c r="AY54" s="97">
        <f>SUM(AY50:AY53)</f>
        <v>1946</v>
      </c>
      <c r="AZ54" s="122">
        <f>AZ50+AZ51+AZ52+AZ53</f>
        <v>8276</v>
      </c>
      <c r="BA54" s="97">
        <f>SUM(BA50:BA53)</f>
        <v>1869</v>
      </c>
      <c r="BB54" s="97">
        <f>SUM(BB50:BB53)</f>
        <v>1890</v>
      </c>
      <c r="BC54" s="97">
        <f>SUM(BC50:BC53)</f>
        <v>1939</v>
      </c>
      <c r="BD54" s="97">
        <f>SUM(BD50:BD53)</f>
        <v>1918</v>
      </c>
      <c r="BE54" s="97">
        <f>SUM(BE50:BE53)</f>
        <v>1946</v>
      </c>
      <c r="BF54" s="122">
        <f>BF50+BF51+BF52+BF53</f>
        <v>8408</v>
      </c>
      <c r="BG54" s="97">
        <f>SUM(BG50:BG53)</f>
        <v>1925</v>
      </c>
      <c r="BH54" s="97">
        <f>SUM(BH50:BH53)</f>
        <v>1904</v>
      </c>
      <c r="BI54" s="97">
        <f>SUM(BI50:BI53)</f>
        <v>1883</v>
      </c>
      <c r="BJ54" s="97">
        <f>SUM(BJ50:BJ53)</f>
        <v>1883</v>
      </c>
      <c r="BK54" s="122">
        <f>BK50+BK51+BK52+BK53</f>
        <v>8070</v>
      </c>
      <c r="BL54" s="97">
        <f>SUM(BL50:BL53)</f>
        <v>1883</v>
      </c>
      <c r="BM54" s="97">
        <f>SUM(BM50:BM53)</f>
        <v>1911</v>
      </c>
      <c r="BN54" s="97">
        <f>SUM(BN50:BN53)</f>
        <v>1974</v>
      </c>
      <c r="BO54" s="97">
        <f>SUM(BO50:BO53)</f>
        <v>1967</v>
      </c>
      <c r="BP54" s="97">
        <f>SUM(BP50:BP53)</f>
        <v>1995</v>
      </c>
      <c r="BQ54" s="122">
        <f>BQ50+BQ51+BQ52+BQ53</f>
        <v>8551</v>
      </c>
      <c r="BR54" s="97">
        <f>SUM(BR50:BR53)</f>
        <v>1960</v>
      </c>
      <c r="BS54" s="97">
        <f>SUM(BS50:BS53)</f>
        <v>1939</v>
      </c>
      <c r="BT54" s="97">
        <f>SUM(BT50:BT53)</f>
        <v>1946</v>
      </c>
      <c r="BU54" s="97">
        <f>SUM(BU50:BU53)</f>
        <v>1939</v>
      </c>
      <c r="BV54" s="149">
        <f t="shared" ref="BV54" si="155">SUM(BV50:BV53)</f>
        <v>8593</v>
      </c>
      <c r="BW54" s="97">
        <f>SUM(BW50:BW53)</f>
        <v>1939</v>
      </c>
      <c r="BX54" s="97">
        <f>SUM(BX50:BX53)</f>
        <v>1974</v>
      </c>
      <c r="BY54" s="97">
        <f>SUM(BY50:BY53)</f>
        <v>1960</v>
      </c>
      <c r="BZ54" s="97">
        <f>SUM(BZ50:BZ53)</f>
        <v>1967</v>
      </c>
      <c r="CA54" s="149">
        <f t="shared" ref="CA54" si="156">SUM(CA50:CA53)</f>
        <v>7821</v>
      </c>
      <c r="CB54" s="97">
        <f>SUM(CB50:CB53)</f>
        <v>2002</v>
      </c>
      <c r="CC54" s="97">
        <f>SUM(CC50:CC53)</f>
        <v>1974</v>
      </c>
      <c r="CD54" s="127">
        <f>SUM(CD50:CD53)</f>
        <v>1953</v>
      </c>
      <c r="CE54" s="127">
        <f>SUM(CE50:CE53)</f>
        <v>1960</v>
      </c>
      <c r="CF54" s="149">
        <f t="shared" ref="CF54" si="157">SUM(CF50:CF53)</f>
        <v>8708</v>
      </c>
      <c r="CG54" s="127">
        <f>SUM(CG50:CG53)</f>
        <v>1974</v>
      </c>
      <c r="CH54" s="127">
        <f>SUM(CH50:CH53)</f>
        <v>1939</v>
      </c>
      <c r="CI54" s="127">
        <f>SUM(CI50:CI53)</f>
        <v>1932</v>
      </c>
      <c r="CJ54" s="127">
        <f>SUM(CJ50:CJ53)</f>
        <v>1897</v>
      </c>
      <c r="CK54" s="127">
        <f>SUM(CK50:CK53)</f>
        <v>1925</v>
      </c>
      <c r="CL54" s="149">
        <f t="shared" ref="CL54" si="158">SUM(CL50:CL53)</f>
        <v>8267</v>
      </c>
    </row>
    <row r="55" spans="1:90" s="11" customFormat="1">
      <c r="A55" s="281" t="s">
        <v>100</v>
      </c>
      <c r="B55" s="10"/>
      <c r="C55" s="33" t="s">
        <v>2</v>
      </c>
      <c r="E55" s="81"/>
      <c r="F55" s="41"/>
      <c r="G55" s="41"/>
      <c r="H55" s="41"/>
      <c r="I55" s="41"/>
      <c r="J55" s="68"/>
      <c r="K55" s="41"/>
      <c r="L55" s="41"/>
      <c r="M55" s="41"/>
      <c r="N55" s="41"/>
      <c r="O55" s="101"/>
      <c r="T55" s="101"/>
      <c r="Z55" s="110"/>
      <c r="AA55" s="41"/>
      <c r="AB55" s="41"/>
      <c r="AE55" s="101"/>
      <c r="AJ55" s="101"/>
      <c r="AP55" s="101"/>
      <c r="AU55" s="101"/>
      <c r="AZ55" s="101"/>
      <c r="BF55" s="101"/>
      <c r="BK55" s="101"/>
      <c r="BQ55" s="101"/>
      <c r="BV55" s="101"/>
      <c r="CA55" s="101"/>
      <c r="CD55" s="41"/>
      <c r="CE55" s="41"/>
      <c r="CF55" s="101"/>
      <c r="CG55" s="41"/>
      <c r="CH55" s="41"/>
      <c r="CI55" s="41"/>
      <c r="CJ55" s="41"/>
      <c r="CK55" s="41"/>
      <c r="CL55" s="101"/>
    </row>
    <row r="56" spans="1:90">
      <c r="A56" s="282"/>
      <c r="B56" t="s">
        <v>73</v>
      </c>
      <c r="C56" s="116"/>
      <c r="D56" t="s">
        <v>67</v>
      </c>
      <c r="E56" s="117">
        <f>+E3/(E7*31)</f>
        <v>74.78141213625085</v>
      </c>
      <c r="F56" s="118">
        <f>+F3/(F7*30)</f>
        <v>77.943400447427294</v>
      </c>
      <c r="G56" s="118">
        <f t="shared" ref="G56:J56" si="159">+G3/(G7*31)</f>
        <v>79.141268075639601</v>
      </c>
      <c r="H56" s="118">
        <f>+H3/(H7*30)</f>
        <v>80.436147186147181</v>
      </c>
      <c r="I56" s="118">
        <f t="shared" si="159"/>
        <v>77.371070474625029</v>
      </c>
      <c r="J56" s="119">
        <f t="shared" si="159"/>
        <v>71.09935691987512</v>
      </c>
      <c r="K56" s="118"/>
      <c r="L56" s="118"/>
      <c r="M56" s="118"/>
      <c r="N56" s="118"/>
      <c r="O56" s="117">
        <f>+O3/(O7*28)</f>
        <v>73.596611969111962</v>
      </c>
      <c r="P56" s="145"/>
      <c r="T56" s="176">
        <f>+T3/(T7*31)</f>
        <v>83.059032258064519</v>
      </c>
      <c r="Z56" s="176">
        <f>+Z3/(Z7*30)</f>
        <v>69.507575308641975</v>
      </c>
      <c r="AE56" s="176">
        <f>+AE3/(AE7*31)</f>
        <v>70.407014483212649</v>
      </c>
      <c r="AJ56" s="176">
        <f>+AJ3/(AJ7*30)</f>
        <v>73.948717592592601</v>
      </c>
      <c r="AP56" s="176">
        <f>+AP3/(AP7*31)</f>
        <v>63.212613449972658</v>
      </c>
      <c r="AQ56" s="176">
        <f t="shared" ref="AQ56:AT56" si="160">+AQ3/(AQ7*30)</f>
        <v>0</v>
      </c>
      <c r="AR56" s="176">
        <f t="shared" si="160"/>
        <v>0</v>
      </c>
      <c r="AS56" s="176">
        <f t="shared" si="160"/>
        <v>0</v>
      </c>
      <c r="AT56" s="176">
        <f t="shared" si="160"/>
        <v>0</v>
      </c>
      <c r="AU56" s="176">
        <f>+AU3/(AU7*31)</f>
        <v>17.045440446650122</v>
      </c>
      <c r="AZ56" s="176">
        <f t="shared" ref="AZ56" si="161">+AZ3/(AZ7*30)</f>
        <v>62.829918367346934</v>
      </c>
      <c r="BF56" s="176">
        <v>88.16</v>
      </c>
      <c r="BK56" s="176">
        <f>BK3/(BK7*30)</f>
        <v>88.233522781774582</v>
      </c>
      <c r="BQ56" s="176">
        <f>BQ3/(BQ7*31)</f>
        <v>83.692487266553485</v>
      </c>
      <c r="BV56" s="333">
        <f t="shared" ref="BV56" si="162">+BV3/(BV7*31)</f>
        <v>77.825966629588422</v>
      </c>
      <c r="CA56" s="333">
        <f>+CA3/(CA7*28)</f>
        <v>75.074102040816328</v>
      </c>
      <c r="CF56" s="333">
        <f>+CF3/(CF7*28)</f>
        <v>78.796466973886325</v>
      </c>
      <c r="CL56" s="333">
        <f>+CL3/(CL7*28)</f>
        <v>0</v>
      </c>
    </row>
    <row r="57" spans="1:90">
      <c r="A57" s="282"/>
      <c r="B57" t="s">
        <v>73</v>
      </c>
      <c r="C57" s="116"/>
      <c r="D57" t="s">
        <v>68</v>
      </c>
      <c r="E57" s="117">
        <f>+E4/(E8*31)</f>
        <v>76.798451612903222</v>
      </c>
      <c r="F57" s="118">
        <f>+F4/(F8*30)</f>
        <v>80.516040100250621</v>
      </c>
      <c r="G57" s="118">
        <f t="shared" ref="G57:J57" si="163">+G4/(G8*31)</f>
        <v>77.300994421537709</v>
      </c>
      <c r="H57" s="118">
        <f>+H4/(H8*30)</f>
        <v>77.862716049382712</v>
      </c>
      <c r="I57" s="118">
        <f t="shared" si="163"/>
        <v>78.950819672131146</v>
      </c>
      <c r="J57" s="119">
        <f t="shared" si="163"/>
        <v>79.082687237026661</v>
      </c>
      <c r="K57" s="118"/>
      <c r="L57" s="118"/>
      <c r="M57" s="118"/>
      <c r="N57" s="118"/>
      <c r="O57" s="117">
        <f>+O4/(O8*28)</f>
        <v>80.021185208596719</v>
      </c>
      <c r="P57" s="145"/>
      <c r="T57" s="176">
        <f>+T4/(T8*31)</f>
        <v>82.869555744199204</v>
      </c>
      <c r="Z57" s="176">
        <f>+Z4/(Z8*30)</f>
        <v>87.721759259259258</v>
      </c>
      <c r="AE57" s="176">
        <f>+AE4/(AE8*31)</f>
        <v>89.21118682076937</v>
      </c>
      <c r="AJ57" s="176">
        <f>+AJ4/(AJ8*30)</f>
        <v>86.619580701754387</v>
      </c>
      <c r="AP57" s="176">
        <f>+AP4/(AP8*31)</f>
        <v>78.843464698721846</v>
      </c>
      <c r="AQ57" s="176">
        <f t="shared" ref="AQ57:AT57" si="164">+AQ4/(AQ8*30)</f>
        <v>0</v>
      </c>
      <c r="AR57" s="176">
        <f t="shared" si="164"/>
        <v>0</v>
      </c>
      <c r="AS57" s="176">
        <f t="shared" si="164"/>
        <v>0</v>
      </c>
      <c r="AT57" s="176">
        <f t="shared" si="164"/>
        <v>0</v>
      </c>
      <c r="AU57" s="176">
        <f>+AU4/(AU8*31)</f>
        <v>66.639420226678297</v>
      </c>
      <c r="AZ57" s="176">
        <f t="shared" ref="AZ57" si="165">+AZ4/(AZ8*30)</f>
        <v>73.410691472868223</v>
      </c>
      <c r="BF57" s="176">
        <v>66.8</v>
      </c>
      <c r="BK57" s="176">
        <f>BK4/(BK8*30)</f>
        <v>65.560146853146861</v>
      </c>
      <c r="BQ57" s="176">
        <f>BQ4/(BQ8*31)</f>
        <v>69.1710233592881</v>
      </c>
      <c r="BV57" s="333">
        <f t="shared" ref="BV57" si="166">+BV4/(BV8*31)</f>
        <v>75.268387096774191</v>
      </c>
      <c r="CA57" s="333">
        <f>+CA4/(CA8*28)</f>
        <v>91.686332671957658</v>
      </c>
      <c r="CF57" s="333">
        <f>+CF4/(CF8*28)</f>
        <v>92.238095238095241</v>
      </c>
      <c r="CL57" s="333">
        <f>+CL4/(CL8*28)</f>
        <v>0</v>
      </c>
    </row>
    <row r="58" spans="1:90">
      <c r="B58" t="s">
        <v>73</v>
      </c>
      <c r="D58" t="s">
        <v>69</v>
      </c>
      <c r="E58" s="117">
        <f>+E5/(E15*31)</f>
        <v>91.89767957042757</v>
      </c>
      <c r="F58" s="118">
        <f>+F5/(F15*30)</f>
        <v>94.118923403372733</v>
      </c>
      <c r="G58" s="118">
        <f>+G5/(G15*31)</f>
        <v>91.630047976487205</v>
      </c>
      <c r="H58" s="118">
        <f>+H5/(H15*30)</f>
        <v>121.69896364011491</v>
      </c>
      <c r="I58" s="118">
        <f>+I5/(I15*31)</f>
        <v>237.1581761560609</v>
      </c>
      <c r="J58" s="119">
        <f>+J5/(J15*31)</f>
        <v>209.06382467144564</v>
      </c>
      <c r="K58" s="118"/>
      <c r="L58" s="118"/>
      <c r="M58" s="118"/>
      <c r="N58" s="118"/>
      <c r="O58" s="117">
        <f>+O5/(O15*28)</f>
        <v>217.45329930363059</v>
      </c>
      <c r="P58" s="146"/>
      <c r="T58" s="176">
        <f>+T5/T54</f>
        <v>222.95298176162873</v>
      </c>
      <c r="Z58" s="176">
        <f>+Z5/Z54</f>
        <v>217.29045747965199</v>
      </c>
      <c r="AE58" s="176">
        <f>+AE5/AE54</f>
        <v>213.7079625536341</v>
      </c>
      <c r="AJ58" s="176">
        <f>+AJ5/AJ54</f>
        <v>211.69960883514312</v>
      </c>
      <c r="AP58" s="176">
        <f t="shared" ref="AP58:AU58" si="167">+AP5/AP54</f>
        <v>211.79570663289351</v>
      </c>
      <c r="AQ58" s="176">
        <f t="shared" si="167"/>
        <v>0</v>
      </c>
      <c r="AR58" s="176">
        <f t="shared" si="167"/>
        <v>0</v>
      </c>
      <c r="AS58" s="176">
        <f t="shared" si="167"/>
        <v>0</v>
      </c>
      <c r="AT58" s="176">
        <f t="shared" si="167"/>
        <v>0</v>
      </c>
      <c r="AU58" s="176">
        <f t="shared" si="167"/>
        <v>212.66646770143805</v>
      </c>
      <c r="AZ58" s="176">
        <f>+AZ5/AZ54</f>
        <v>210.08657564040598</v>
      </c>
      <c r="BF58" s="176">
        <f>BF5/BF54</f>
        <v>210.74782588011416</v>
      </c>
      <c r="BK58" s="176">
        <f>BK5/BK54</f>
        <v>208.09395786864931</v>
      </c>
      <c r="BQ58" s="176">
        <f>BQ5/BQ54</f>
        <v>210.7737106771138</v>
      </c>
      <c r="BV58" s="333">
        <f>+BV5/BV54</f>
        <v>209.9394146398231</v>
      </c>
      <c r="CA58" s="333">
        <f>+CA5/CA54</f>
        <v>207.25843242552102</v>
      </c>
      <c r="CF58" s="333">
        <f>+CF5/CF54</f>
        <v>207.36391823610472</v>
      </c>
      <c r="CL58" s="333">
        <f>+CL5/CL54</f>
        <v>0</v>
      </c>
    </row>
    <row r="59" spans="1:90" s="11" customFormat="1" ht="29.25">
      <c r="A59" s="284" t="s">
        <v>101</v>
      </c>
      <c r="B59" s="10"/>
      <c r="C59" s="33" t="s">
        <v>2</v>
      </c>
      <c r="E59" s="81"/>
      <c r="F59" s="41"/>
      <c r="G59" s="41"/>
      <c r="H59" s="41"/>
      <c r="I59" s="41"/>
      <c r="J59" s="68"/>
      <c r="K59" s="41"/>
      <c r="L59" s="41"/>
      <c r="M59" s="41"/>
      <c r="N59" s="41"/>
      <c r="O59" s="101"/>
      <c r="T59" s="101"/>
      <c r="Z59" s="110"/>
      <c r="AA59" s="41"/>
      <c r="AB59" s="41"/>
      <c r="AE59" s="101"/>
      <c r="AJ59" s="101"/>
      <c r="AP59" s="101"/>
      <c r="AU59" s="101"/>
      <c r="AZ59" s="101"/>
      <c r="BF59" s="101"/>
      <c r="BK59" s="101"/>
      <c r="BQ59" s="101"/>
      <c r="BV59" s="101"/>
      <c r="CA59" s="101"/>
      <c r="CD59" s="41"/>
      <c r="CE59" s="41"/>
      <c r="CF59" s="101"/>
      <c r="CG59" s="41"/>
      <c r="CH59" s="41"/>
      <c r="CI59" s="41"/>
      <c r="CJ59" s="41"/>
      <c r="CK59" s="41"/>
      <c r="CL59" s="101"/>
    </row>
    <row r="60" spans="1:90">
      <c r="A60" s="285"/>
      <c r="B60" s="29" t="s">
        <v>102</v>
      </c>
      <c r="C60" s="37"/>
      <c r="D60" s="29" t="s">
        <v>76</v>
      </c>
      <c r="E60" s="83">
        <v>28.4</v>
      </c>
      <c r="F60" s="45">
        <v>49.7</v>
      </c>
      <c r="G60" s="45">
        <v>57.7</v>
      </c>
      <c r="H60" s="45">
        <v>59</v>
      </c>
      <c r="I60" s="45">
        <v>71.900000000000006</v>
      </c>
      <c r="J60" s="70">
        <v>69.099999999999994</v>
      </c>
      <c r="K60" s="45">
        <v>291.62</v>
      </c>
      <c r="L60" s="45">
        <v>277.32</v>
      </c>
      <c r="M60" s="45">
        <v>265.02999999999997</v>
      </c>
      <c r="N60" s="45">
        <v>270.69</v>
      </c>
      <c r="O60" s="103">
        <v>71.400000000000006</v>
      </c>
      <c r="P60" s="29">
        <v>272.45</v>
      </c>
      <c r="Q60" s="29">
        <v>262.95</v>
      </c>
      <c r="R60" s="29">
        <v>260.29000000000002</v>
      </c>
      <c r="S60" s="29">
        <v>247.36</v>
      </c>
      <c r="T60" s="103">
        <v>90</v>
      </c>
      <c r="U60" s="29">
        <v>245.25</v>
      </c>
      <c r="V60" s="29">
        <v>247.39</v>
      </c>
      <c r="W60" s="29">
        <v>242.62</v>
      </c>
      <c r="X60" s="29">
        <v>251.91</v>
      </c>
      <c r="Y60" s="29">
        <v>262.32</v>
      </c>
      <c r="Z60" s="103">
        <v>48.7</v>
      </c>
      <c r="AA60" s="205">
        <v>248.15</v>
      </c>
      <c r="AB60" s="205">
        <v>231.11</v>
      </c>
      <c r="AC60" s="205">
        <v>235.23</v>
      </c>
      <c r="AD60" s="205">
        <v>238.79</v>
      </c>
      <c r="AE60" s="103">
        <v>69.400000000000006</v>
      </c>
      <c r="AF60" s="269"/>
      <c r="AG60" s="269"/>
      <c r="AH60" s="269"/>
      <c r="AI60" s="269"/>
      <c r="AJ60" s="103">
        <v>53.8</v>
      </c>
      <c r="AK60" s="269"/>
      <c r="AL60" s="269"/>
      <c r="AM60" s="269"/>
      <c r="AN60" s="269"/>
      <c r="AO60" s="269"/>
      <c r="AP60" s="103">
        <v>72.2</v>
      </c>
      <c r="AQ60" s="269"/>
      <c r="AR60" s="29"/>
      <c r="AS60" s="29"/>
      <c r="AT60" s="29"/>
      <c r="AU60" s="103">
        <v>32.299999999999997</v>
      </c>
      <c r="AV60" s="29"/>
      <c r="AZ60" s="103">
        <v>73</v>
      </c>
      <c r="BF60" s="103">
        <v>89.3</v>
      </c>
      <c r="BK60" s="103">
        <v>116.1</v>
      </c>
      <c r="BQ60" s="103">
        <v>84.6</v>
      </c>
      <c r="BV60" s="103">
        <v>116.8</v>
      </c>
      <c r="CA60" s="103">
        <v>111.1</v>
      </c>
      <c r="CF60" s="103">
        <v>101.9</v>
      </c>
      <c r="CL60" s="103"/>
    </row>
    <row r="61" spans="1:90">
      <c r="A61" s="285"/>
      <c r="B61" s="29" t="s">
        <v>102</v>
      </c>
      <c r="C61" s="37"/>
      <c r="D61" s="29" t="s">
        <v>77</v>
      </c>
      <c r="E61" s="83"/>
      <c r="F61" s="45"/>
      <c r="G61" s="45"/>
      <c r="H61" s="45">
        <v>7</v>
      </c>
      <c r="I61" s="45">
        <v>16</v>
      </c>
      <c r="J61" s="70">
        <v>33.200000000000003</v>
      </c>
      <c r="K61" s="45">
        <v>264.14</v>
      </c>
      <c r="L61" s="45">
        <v>270.89</v>
      </c>
      <c r="M61" s="45">
        <v>270.68</v>
      </c>
      <c r="N61" s="45">
        <v>284.54000000000002</v>
      </c>
      <c r="O61" s="103">
        <v>17</v>
      </c>
      <c r="P61" s="29">
        <v>298.36</v>
      </c>
      <c r="Q61" s="29">
        <v>295.83999999999997</v>
      </c>
      <c r="R61" s="29">
        <v>305.70999999999998</v>
      </c>
      <c r="S61" s="29">
        <v>295.14</v>
      </c>
      <c r="T61" s="103">
        <v>78</v>
      </c>
      <c r="U61" s="29">
        <v>318.27</v>
      </c>
      <c r="V61" s="29">
        <v>311.18</v>
      </c>
      <c r="W61" s="29">
        <v>322.24</v>
      </c>
      <c r="X61" s="29">
        <v>329</v>
      </c>
      <c r="Y61" s="29">
        <v>326.08999999999997</v>
      </c>
      <c r="Z61" s="103">
        <v>46.3</v>
      </c>
      <c r="AA61" s="205">
        <v>351.75</v>
      </c>
      <c r="AB61" s="205">
        <v>344.52</v>
      </c>
      <c r="AC61" s="205">
        <v>329.71</v>
      </c>
      <c r="AD61" s="205">
        <v>336.71</v>
      </c>
      <c r="AE61" s="103">
        <v>53.3</v>
      </c>
      <c r="AF61" s="269"/>
      <c r="AG61" s="269"/>
      <c r="AH61" s="269"/>
      <c r="AI61" s="269"/>
      <c r="AJ61" s="103">
        <v>77.5</v>
      </c>
      <c r="AK61" s="269"/>
      <c r="AL61" s="269"/>
      <c r="AM61" s="269"/>
      <c r="AN61" s="269"/>
      <c r="AO61" s="269"/>
      <c r="AP61" s="103">
        <v>93.7</v>
      </c>
      <c r="AQ61" s="269"/>
      <c r="AR61" s="29"/>
      <c r="AS61" s="29"/>
      <c r="AT61" s="29"/>
      <c r="AU61" s="103">
        <v>66.8</v>
      </c>
      <c r="AV61" s="29"/>
      <c r="AZ61" s="103">
        <v>97.4</v>
      </c>
      <c r="BF61" s="103">
        <v>72.599999999999994</v>
      </c>
      <c r="BK61" s="103">
        <v>44.2</v>
      </c>
      <c r="BQ61" s="103">
        <v>20.3</v>
      </c>
      <c r="BV61" s="103">
        <v>128.1</v>
      </c>
      <c r="CA61" s="103">
        <v>189.3</v>
      </c>
      <c r="CF61" s="103">
        <v>10</v>
      </c>
      <c r="CL61" s="103"/>
    </row>
    <row r="62" spans="1:90">
      <c r="A62" s="285"/>
      <c r="B62" s="29" t="s">
        <v>102</v>
      </c>
      <c r="C62" s="37"/>
      <c r="D62" s="29" t="s">
        <v>78</v>
      </c>
      <c r="E62" s="83"/>
      <c r="F62" s="45"/>
      <c r="G62" s="45"/>
      <c r="H62" s="45">
        <v>4</v>
      </c>
      <c r="I62" s="45">
        <v>13.8</v>
      </c>
      <c r="J62" s="70">
        <v>39.1</v>
      </c>
      <c r="K62" s="45">
        <v>174.74</v>
      </c>
      <c r="L62" s="45">
        <v>184.52</v>
      </c>
      <c r="M62" s="45">
        <v>180.24</v>
      </c>
      <c r="N62" s="45">
        <v>179.27</v>
      </c>
      <c r="O62" s="103">
        <v>42.3</v>
      </c>
      <c r="P62" s="29">
        <v>200.04</v>
      </c>
      <c r="Q62" s="29">
        <v>182.65</v>
      </c>
      <c r="R62" s="29">
        <v>188.85</v>
      </c>
      <c r="S62" s="29">
        <v>181.75</v>
      </c>
      <c r="T62" s="103">
        <v>32</v>
      </c>
      <c r="U62" s="29">
        <v>175.73</v>
      </c>
      <c r="V62" s="29">
        <v>174.35</v>
      </c>
      <c r="W62" s="29">
        <v>191.48</v>
      </c>
      <c r="X62" s="29">
        <v>200.61</v>
      </c>
      <c r="Y62" s="29">
        <v>214.37</v>
      </c>
      <c r="Z62" s="103">
        <v>21.8</v>
      </c>
      <c r="AA62" s="205">
        <v>221.37</v>
      </c>
      <c r="AB62" s="205">
        <v>205.9</v>
      </c>
      <c r="AC62" s="205">
        <v>199.72</v>
      </c>
      <c r="AD62" s="205">
        <v>213.1</v>
      </c>
      <c r="AE62" s="103">
        <v>0</v>
      </c>
      <c r="AF62" s="269"/>
      <c r="AG62" s="269"/>
      <c r="AH62" s="269"/>
      <c r="AI62" s="269"/>
      <c r="AJ62" s="103">
        <v>56.3</v>
      </c>
      <c r="AK62" s="269"/>
      <c r="AL62" s="269"/>
      <c r="AM62" s="269"/>
      <c r="AN62" s="269"/>
      <c r="AO62" s="269"/>
      <c r="AP62" s="103">
        <v>131.6</v>
      </c>
      <c r="AQ62" s="269"/>
      <c r="AR62" s="29"/>
      <c r="AS62" s="29"/>
      <c r="AT62" s="29"/>
      <c r="AU62" s="103">
        <v>55.9</v>
      </c>
      <c r="AV62" s="29"/>
      <c r="AZ62" s="103">
        <v>183.8</v>
      </c>
      <c r="BF62" s="103">
        <v>93.1</v>
      </c>
      <c r="BK62" s="103">
        <v>112.2</v>
      </c>
      <c r="BQ62" s="103">
        <v>203.5</v>
      </c>
      <c r="BV62" s="103">
        <v>164.5</v>
      </c>
      <c r="CA62" s="103">
        <v>126</v>
      </c>
      <c r="CF62" s="103">
        <v>135.5</v>
      </c>
      <c r="CL62" s="103"/>
    </row>
    <row r="63" spans="1:90">
      <c r="A63" s="285"/>
      <c r="B63" s="29" t="s">
        <v>102</v>
      </c>
      <c r="C63" s="37"/>
      <c r="D63" s="29" t="s">
        <v>89</v>
      </c>
      <c r="E63" s="83"/>
      <c r="F63" s="45"/>
      <c r="G63" s="45"/>
      <c r="H63" s="45">
        <v>5.4</v>
      </c>
      <c r="I63" s="45">
        <v>14.6</v>
      </c>
      <c r="J63" s="70">
        <v>23.9</v>
      </c>
      <c r="K63" s="45">
        <v>73.010000000000005</v>
      </c>
      <c r="L63" s="45">
        <v>75.760000000000005</v>
      </c>
      <c r="M63" s="45">
        <v>76.84</v>
      </c>
      <c r="N63" s="40">
        <v>84.5</v>
      </c>
      <c r="O63" s="103">
        <v>27.2</v>
      </c>
      <c r="P63" s="29">
        <v>83.22</v>
      </c>
      <c r="Q63" s="29">
        <v>81.099999999999994</v>
      </c>
      <c r="R63" s="29">
        <v>89.18</v>
      </c>
      <c r="S63" s="29">
        <v>92.43</v>
      </c>
      <c r="T63" s="103">
        <v>24.5</v>
      </c>
      <c r="U63" s="29">
        <v>86.58</v>
      </c>
      <c r="V63" s="29">
        <v>90.64</v>
      </c>
      <c r="W63" s="29">
        <v>88.77</v>
      </c>
      <c r="X63" s="29">
        <v>95.2</v>
      </c>
      <c r="Y63" s="29">
        <v>95.71</v>
      </c>
      <c r="Z63" s="103">
        <v>31.3</v>
      </c>
      <c r="AA63" s="205">
        <v>101.97</v>
      </c>
      <c r="AB63" s="205">
        <v>106.2</v>
      </c>
      <c r="AC63" s="205">
        <v>103.51</v>
      </c>
      <c r="AD63" s="205">
        <v>107.44</v>
      </c>
      <c r="AE63" s="103">
        <v>36.299999999999997</v>
      </c>
      <c r="AF63" s="269"/>
      <c r="AG63" s="269"/>
      <c r="AH63" s="269"/>
      <c r="AI63" s="269"/>
      <c r="AJ63" s="103">
        <v>91.8</v>
      </c>
      <c r="AK63" s="269"/>
      <c r="AL63" s="269"/>
      <c r="AM63" s="269"/>
      <c r="AN63" s="269"/>
      <c r="AO63" s="269"/>
      <c r="AP63" s="103">
        <v>40.4</v>
      </c>
      <c r="AQ63" s="269"/>
      <c r="AR63" s="29"/>
      <c r="AS63" s="29"/>
      <c r="AT63" s="29"/>
      <c r="AU63" s="103">
        <v>77.2</v>
      </c>
      <c r="AV63" s="29"/>
      <c r="AZ63" s="103">
        <v>51.9</v>
      </c>
      <c r="BF63" s="103">
        <v>67</v>
      </c>
      <c r="BK63" s="103">
        <v>56.4</v>
      </c>
      <c r="BQ63" s="103">
        <v>101.1</v>
      </c>
      <c r="BV63" s="103">
        <v>71.099999999999994</v>
      </c>
      <c r="CA63" s="103">
        <v>65.5</v>
      </c>
      <c r="CF63" s="103">
        <v>96.3</v>
      </c>
      <c r="CL63" s="103"/>
    </row>
    <row r="64" spans="1:90" s="11" customFormat="1">
      <c r="A64" s="281" t="s">
        <v>103</v>
      </c>
      <c r="B64" s="10"/>
      <c r="C64" s="33" t="s">
        <v>2</v>
      </c>
      <c r="E64" s="81"/>
      <c r="F64" s="41"/>
      <c r="G64" s="41"/>
      <c r="H64" s="41"/>
      <c r="I64" s="41"/>
      <c r="J64" s="68"/>
      <c r="K64" s="41"/>
      <c r="L64" s="41"/>
      <c r="M64" s="41"/>
      <c r="N64" s="41"/>
      <c r="O64" s="101"/>
      <c r="T64" s="101"/>
      <c r="Z64" s="110"/>
      <c r="AA64" s="41"/>
      <c r="AB64" s="41"/>
      <c r="AE64" s="101"/>
      <c r="AJ64" s="101"/>
      <c r="AP64" s="101"/>
      <c r="AU64" s="101"/>
      <c r="AZ64" s="101"/>
      <c r="BF64" s="101"/>
      <c r="BK64" s="101"/>
      <c r="BQ64" s="101"/>
      <c r="BV64" s="101"/>
      <c r="CA64" s="101"/>
      <c r="CD64" s="41"/>
      <c r="CE64" s="41"/>
      <c r="CF64" s="101"/>
      <c r="CG64" s="41"/>
      <c r="CH64" s="41"/>
      <c r="CI64" s="41"/>
      <c r="CJ64" s="41"/>
      <c r="CK64" s="41"/>
      <c r="CL64" s="101"/>
    </row>
    <row r="65" spans="1:90">
      <c r="A65" s="294" t="s">
        <v>104</v>
      </c>
      <c r="B65" s="15" t="s">
        <v>105</v>
      </c>
      <c r="C65" s="38">
        <v>0.05</v>
      </c>
      <c r="D65" s="15" t="s">
        <v>67</v>
      </c>
      <c r="E65" s="88">
        <v>5.2999999999999999E-2</v>
      </c>
      <c r="F65" s="46">
        <v>6.8000000000000005E-2</v>
      </c>
      <c r="G65" s="46">
        <v>7.4999999999999997E-2</v>
      </c>
      <c r="H65" s="46">
        <v>6.9000000000000006E-2</v>
      </c>
      <c r="I65" s="46">
        <v>7.1999999999999995E-2</v>
      </c>
      <c r="J65" s="75">
        <v>6.5000000000000002E-2</v>
      </c>
      <c r="K65" s="46">
        <v>7.4999999999999997E-2</v>
      </c>
      <c r="L65" s="46">
        <v>5.5599999999999997E-2</v>
      </c>
      <c r="M65" s="46">
        <v>0.15379999999999999</v>
      </c>
      <c r="N65" s="62">
        <v>5.4100000000000002E-2</v>
      </c>
      <c r="O65" s="107">
        <v>5.1999999999999998E-2</v>
      </c>
      <c r="P65" s="15">
        <v>0</v>
      </c>
      <c r="Q65" s="15">
        <v>7.1400000000000005E-2</v>
      </c>
      <c r="R65" s="15">
        <v>3.85E-2</v>
      </c>
      <c r="S65" s="15">
        <v>3.4500000000000003E-2</v>
      </c>
      <c r="T65" s="107">
        <v>4.7E-2</v>
      </c>
      <c r="U65" s="15">
        <v>6.4500000000000002E-2</v>
      </c>
      <c r="V65" s="15">
        <v>6.8000000000000005E-2</v>
      </c>
      <c r="W65" s="15">
        <v>5.5E-2</v>
      </c>
      <c r="X65" s="15">
        <v>5.1999999999999998E-2</v>
      </c>
      <c r="Y65" s="15">
        <v>5.2999999999999999E-2</v>
      </c>
      <c r="Z65" s="107">
        <v>4.4999999999999998E-2</v>
      </c>
      <c r="AA65" s="206">
        <v>4.8000000000000001E-2</v>
      </c>
      <c r="AB65" s="206">
        <v>5.7000000000000002E-2</v>
      </c>
      <c r="AC65" s="206">
        <v>4.9000000000000002E-2</v>
      </c>
      <c r="AD65" s="206">
        <v>1E-4</v>
      </c>
      <c r="AE65" s="107">
        <v>1.7000000000000001E-2</v>
      </c>
      <c r="AF65" s="206">
        <v>2.7E-2</v>
      </c>
      <c r="AG65" s="206">
        <v>1.9E-2</v>
      </c>
      <c r="AH65" s="206">
        <v>1.7999999999999999E-2</v>
      </c>
      <c r="AI65" s="206">
        <v>0.02</v>
      </c>
      <c r="AJ65" s="107">
        <v>3.0000000000000001E-3</v>
      </c>
      <c r="AK65" s="206">
        <v>1.9E-2</v>
      </c>
      <c r="AL65" s="206">
        <v>1.7000000000000001E-2</v>
      </c>
      <c r="AM65" s="206">
        <v>2.9000000000000001E-2</v>
      </c>
      <c r="AN65" s="206">
        <v>4.2000000000000003E-2</v>
      </c>
      <c r="AO65" s="15">
        <v>3.1E-2</v>
      </c>
      <c r="AP65" s="107">
        <v>4.2000000000000003E-2</v>
      </c>
      <c r="AQ65" s="15">
        <v>3.6999999999999998E-2</v>
      </c>
      <c r="AR65" s="15">
        <v>3.6999999999999998E-2</v>
      </c>
      <c r="AS65" s="15">
        <v>4.1000000000000002E-2</v>
      </c>
      <c r="AT65" s="15">
        <v>3.4000000000000002E-2</v>
      </c>
      <c r="AU65" s="107">
        <v>3.4000000000000002E-2</v>
      </c>
      <c r="AV65" s="15">
        <v>2.7E-2</v>
      </c>
      <c r="AW65" s="15">
        <v>4.9000000000000002E-2</v>
      </c>
      <c r="AX65" s="15">
        <v>6.8000000000000005E-2</v>
      </c>
      <c r="AY65" s="15">
        <v>6.8000000000000005E-2</v>
      </c>
      <c r="AZ65" s="107">
        <v>6.6000000000000003E-2</v>
      </c>
      <c r="BA65" s="15">
        <v>6.0999999999999999E-2</v>
      </c>
      <c r="BB65" s="206" t="s">
        <v>106</v>
      </c>
      <c r="BC65" s="206" t="s">
        <v>106</v>
      </c>
      <c r="BD65" s="206" t="s">
        <v>106</v>
      </c>
      <c r="BE65" s="206">
        <v>0.02</v>
      </c>
      <c r="BF65" s="107">
        <v>4.1000000000000002E-2</v>
      </c>
      <c r="BG65" s="206">
        <v>3.4000000000000002E-2</v>
      </c>
      <c r="BH65" s="206">
        <v>5.6000000000000001E-2</v>
      </c>
      <c r="BI65" s="206">
        <v>0.06</v>
      </c>
      <c r="BJ65" s="206">
        <v>3.5999999999999997E-2</v>
      </c>
      <c r="BK65" s="107">
        <v>9.6000000000000002E-2</v>
      </c>
      <c r="BL65" s="206">
        <v>9.0999999999999998E-2</v>
      </c>
      <c r="BM65" s="206">
        <v>8.6999999999999994E-2</v>
      </c>
      <c r="BN65" s="206">
        <v>6.0999999999999999E-2</v>
      </c>
      <c r="BO65" s="206">
        <v>6.7000000000000004E-2</v>
      </c>
      <c r="BP65" s="206">
        <v>3.9E-2</v>
      </c>
      <c r="BQ65" s="107">
        <v>0.105</v>
      </c>
      <c r="BR65" s="206">
        <v>3.9E-2</v>
      </c>
      <c r="BS65" s="206">
        <v>2.9000000000000001E-2</v>
      </c>
      <c r="BT65" s="206">
        <v>8.1000000000000003E-2</v>
      </c>
      <c r="BU65" s="206">
        <v>6.5000000000000002E-2</v>
      </c>
      <c r="BV65" s="107">
        <v>7.8E-2</v>
      </c>
      <c r="BW65" s="206">
        <v>1.9E-2</v>
      </c>
      <c r="BX65" s="206">
        <v>4.4999999999999998E-2</v>
      </c>
      <c r="BY65" s="206">
        <v>3.5999999999999997E-2</v>
      </c>
      <c r="BZ65" s="206">
        <v>3.5999999999999997E-2</v>
      </c>
      <c r="CA65" s="107">
        <v>5.5E-2</v>
      </c>
      <c r="CB65" s="206">
        <v>3.2000000000000001E-2</v>
      </c>
      <c r="CC65" s="206">
        <v>4.2999999999999997E-2</v>
      </c>
      <c r="CD65" s="206">
        <v>3.5000000000000003E-2</v>
      </c>
      <c r="CE65" s="206">
        <v>3.7999999999999999E-2</v>
      </c>
      <c r="CF65" s="107">
        <v>6.2E-2</v>
      </c>
      <c r="CG65" s="206">
        <v>2.1000000000000001E-2</v>
      </c>
      <c r="CH65" s="206">
        <v>1.2E-2</v>
      </c>
      <c r="CI65" s="206">
        <v>1.4E-2</v>
      </c>
      <c r="CJ65" s="206">
        <v>1.6E-2</v>
      </c>
      <c r="CK65" s="206">
        <v>2.1000000000000001E-2</v>
      </c>
      <c r="CL65" s="107">
        <v>7.5999999999999998E-2</v>
      </c>
    </row>
    <row r="66" spans="1:90">
      <c r="A66" s="294" t="s">
        <v>107</v>
      </c>
      <c r="B66" s="15" t="s">
        <v>105</v>
      </c>
      <c r="C66" s="38">
        <v>0.05</v>
      </c>
      <c r="D66" s="15" t="s">
        <v>68</v>
      </c>
      <c r="E66" s="88">
        <v>6.4000000000000001E-2</v>
      </c>
      <c r="F66" s="46">
        <v>3.2000000000000001E-2</v>
      </c>
      <c r="G66" s="46">
        <v>5.8999999999999997E-2</v>
      </c>
      <c r="H66" s="46">
        <v>5.3999999999999999E-2</v>
      </c>
      <c r="I66" s="46">
        <v>8.1000000000000003E-2</v>
      </c>
      <c r="J66" s="75">
        <v>7.2999999999999995E-2</v>
      </c>
      <c r="K66" s="46">
        <v>0</v>
      </c>
      <c r="L66" s="46">
        <v>4.1700000000000001E-2</v>
      </c>
      <c r="M66" s="46">
        <v>4.3499999999999997E-2</v>
      </c>
      <c r="N66" s="46">
        <v>0</v>
      </c>
      <c r="O66" s="107">
        <v>4.7E-2</v>
      </c>
      <c r="P66" s="15">
        <v>3.1300000000000001E-2</v>
      </c>
      <c r="Q66" s="15">
        <v>3.85E-2</v>
      </c>
      <c r="R66" s="15">
        <v>3.5700000000000003E-2</v>
      </c>
      <c r="S66" s="15">
        <v>0.1071</v>
      </c>
      <c r="T66" s="107">
        <v>5.8999999999999997E-2</v>
      </c>
      <c r="U66" s="15">
        <v>8.5699999999999998E-2</v>
      </c>
      <c r="V66" s="15">
        <v>8.1000000000000003E-2</v>
      </c>
      <c r="W66" s="15">
        <v>5.5E-2</v>
      </c>
      <c r="X66" s="15">
        <v>5.8000000000000003E-2</v>
      </c>
      <c r="Y66" s="15">
        <v>3.9E-2</v>
      </c>
      <c r="Z66" s="107">
        <v>4.5999999999999999E-2</v>
      </c>
      <c r="AA66" s="206">
        <v>0.05</v>
      </c>
      <c r="AB66" s="206">
        <v>0.05</v>
      </c>
      <c r="AC66" s="206">
        <v>4.9000000000000002E-2</v>
      </c>
      <c r="AD66" s="206">
        <v>0.06</v>
      </c>
      <c r="AE66" s="107">
        <v>4.5999999999999999E-2</v>
      </c>
      <c r="AF66" s="206">
        <v>4.1000000000000002E-2</v>
      </c>
      <c r="AG66" s="206">
        <v>3.5999999999999997E-2</v>
      </c>
      <c r="AH66" s="206">
        <v>4.2000000000000003E-2</v>
      </c>
      <c r="AI66" s="206">
        <v>5.5E-2</v>
      </c>
      <c r="AJ66" s="107">
        <v>4.8000000000000001E-2</v>
      </c>
      <c r="AK66" s="206">
        <v>7.6999999999999999E-2</v>
      </c>
      <c r="AL66" s="206">
        <v>7.0999999999999994E-2</v>
      </c>
      <c r="AM66" s="206">
        <v>6.8000000000000005E-2</v>
      </c>
      <c r="AN66" s="206">
        <v>7.9000000000000001E-2</v>
      </c>
      <c r="AO66" s="15">
        <v>4.9000000000000002E-2</v>
      </c>
      <c r="AP66" s="107">
        <v>0.05</v>
      </c>
      <c r="AQ66" s="15">
        <v>7.1999999999999995E-2</v>
      </c>
      <c r="AR66" s="15">
        <v>7.1999999999999995E-2</v>
      </c>
      <c r="AS66" s="15">
        <v>7.6999999999999999E-2</v>
      </c>
      <c r="AT66" s="15">
        <v>7.5999999999999998E-2</v>
      </c>
      <c r="AU66" s="107">
        <v>5.8000000000000003E-2</v>
      </c>
      <c r="AV66" s="15">
        <v>5.2999999999999999E-2</v>
      </c>
      <c r="AW66" s="15">
        <v>5.3999999999999999E-2</v>
      </c>
      <c r="AX66" s="15">
        <v>4.5999999999999999E-2</v>
      </c>
      <c r="AY66" s="15">
        <v>3.9E-2</v>
      </c>
      <c r="AZ66" s="107">
        <v>5.5E-2</v>
      </c>
      <c r="BA66" s="15">
        <v>5.5E-2</v>
      </c>
      <c r="BB66" s="15">
        <v>0.06</v>
      </c>
      <c r="BC66" s="15">
        <v>6.6000000000000003E-2</v>
      </c>
      <c r="BD66" s="15">
        <v>5.3999999999999999E-2</v>
      </c>
      <c r="BE66" s="15">
        <v>3.9E-2</v>
      </c>
      <c r="BF66" s="107">
        <v>6.2E-2</v>
      </c>
      <c r="BG66" s="15">
        <v>2.7E-2</v>
      </c>
      <c r="BH66" s="15">
        <v>3.4000000000000002E-2</v>
      </c>
      <c r="BI66" s="15">
        <v>3.5999999999999997E-2</v>
      </c>
      <c r="BJ66" s="15">
        <v>3.2000000000000001E-2</v>
      </c>
      <c r="BK66" s="107">
        <v>4.7E-2</v>
      </c>
      <c r="BL66" s="15">
        <v>1.6E-2</v>
      </c>
      <c r="BM66" s="15">
        <v>1.7999999999999999E-2</v>
      </c>
      <c r="BN66" s="15">
        <v>3.1E-2</v>
      </c>
      <c r="BO66" s="206">
        <v>4.2000000000000003E-2</v>
      </c>
      <c r="BP66" s="206">
        <v>3.1E-2</v>
      </c>
      <c r="BQ66" s="107">
        <v>3.5999999999999997E-2</v>
      </c>
      <c r="BR66" s="206">
        <v>1.0999999999999999E-2</v>
      </c>
      <c r="BS66" s="206">
        <v>1.0999999999999999E-2</v>
      </c>
      <c r="BT66" s="206">
        <v>4.3999999999999997E-2</v>
      </c>
      <c r="BU66" s="206">
        <v>6.0999999999999999E-2</v>
      </c>
      <c r="BV66" s="107">
        <v>7.1999999999999995E-2</v>
      </c>
      <c r="BW66" s="206">
        <v>5.2999999999999999E-2</v>
      </c>
      <c r="BX66" s="206">
        <v>4.8000000000000001E-2</v>
      </c>
      <c r="BY66" s="206">
        <v>0</v>
      </c>
      <c r="BZ66" s="206">
        <v>0</v>
      </c>
      <c r="CA66" s="107">
        <v>0.03</v>
      </c>
      <c r="CB66" s="206">
        <v>1.4E-2</v>
      </c>
      <c r="CC66" s="206">
        <v>2.1999999999999999E-2</v>
      </c>
      <c r="CD66" s="206">
        <v>1.0999999999999999E-2</v>
      </c>
      <c r="CE66" s="206">
        <v>0.01</v>
      </c>
      <c r="CF66" s="107">
        <v>4.9000000000000002E-2</v>
      </c>
      <c r="CG66" s="206">
        <v>1.9E-2</v>
      </c>
      <c r="CH66" s="206">
        <v>3.2000000000000001E-2</v>
      </c>
      <c r="CI66" s="206">
        <v>4.3999999999999997E-2</v>
      </c>
      <c r="CJ66" s="206">
        <v>4.1000000000000002E-2</v>
      </c>
      <c r="CK66" s="206">
        <v>2.5000000000000001E-2</v>
      </c>
      <c r="CL66" s="107">
        <v>4.4999999999999998E-2</v>
      </c>
    </row>
    <row r="67" spans="1:90" s="11" customFormat="1" hidden="1">
      <c r="A67" s="281" t="s">
        <v>108</v>
      </c>
      <c r="B67" s="10"/>
      <c r="C67" s="33" t="s">
        <v>2</v>
      </c>
      <c r="E67" s="81"/>
      <c r="F67" s="41"/>
      <c r="G67" s="41"/>
      <c r="H67" s="41"/>
      <c r="I67" s="41"/>
      <c r="J67" s="68"/>
      <c r="K67" s="41"/>
      <c r="L67" s="41"/>
      <c r="M67" s="41"/>
      <c r="N67" s="41"/>
      <c r="O67" s="101"/>
      <c r="T67" s="101"/>
      <c r="Z67" s="110"/>
      <c r="AA67" s="41"/>
      <c r="AB67" s="41"/>
      <c r="AE67" s="101"/>
      <c r="AJ67" s="101"/>
      <c r="AP67" s="101"/>
      <c r="AU67" s="101"/>
      <c r="AZ67" s="101"/>
      <c r="BF67" s="101"/>
      <c r="BK67" s="101"/>
      <c r="BQ67" s="101"/>
      <c r="BV67" s="101"/>
      <c r="CA67" s="101"/>
      <c r="CD67" s="41"/>
      <c r="CE67" s="41"/>
      <c r="CF67" s="101"/>
      <c r="CG67" s="41"/>
      <c r="CH67" s="41"/>
      <c r="CI67" s="41"/>
      <c r="CJ67" s="41"/>
      <c r="CK67" s="41"/>
      <c r="CL67" s="101"/>
    </row>
    <row r="68" spans="1:90" hidden="1">
      <c r="A68" s="279" t="s">
        <v>109</v>
      </c>
      <c r="B68" t="s">
        <v>110</v>
      </c>
      <c r="D68" t="s">
        <v>111</v>
      </c>
      <c r="E68" s="89"/>
      <c r="F68" s="76"/>
      <c r="G68" s="76"/>
      <c r="H68" s="76"/>
      <c r="I68" s="76"/>
      <c r="J68" s="77"/>
      <c r="K68" s="44">
        <f>9/10</f>
        <v>0.9</v>
      </c>
      <c r="L68" s="44">
        <f>9/10</f>
        <v>0.9</v>
      </c>
      <c r="M68" s="44">
        <f>9/10</f>
        <v>0.9</v>
      </c>
      <c r="N68" s="44">
        <f>9/10</f>
        <v>0.9</v>
      </c>
      <c r="O68" s="108"/>
      <c r="P68" s="147"/>
      <c r="Q68" s="147"/>
      <c r="R68" s="147"/>
      <c r="S68" s="147"/>
      <c r="T68" s="108"/>
      <c r="U68" s="147"/>
      <c r="V68" s="15"/>
      <c r="W68" s="15"/>
      <c r="X68" s="15"/>
      <c r="Y68" s="15"/>
      <c r="Z68" s="113"/>
      <c r="AA68" s="206"/>
      <c r="AB68" s="206"/>
      <c r="AC68" s="206"/>
      <c r="AD68" s="206"/>
      <c r="AE68" s="108"/>
      <c r="AF68" s="206"/>
      <c r="AG68" s="206"/>
      <c r="AH68" s="206"/>
      <c r="AI68" s="206"/>
      <c r="AJ68" s="108"/>
      <c r="AK68" s="206"/>
      <c r="AL68" s="206"/>
      <c r="AM68" s="206"/>
      <c r="AN68" s="206"/>
      <c r="AO68" s="12"/>
      <c r="AP68" s="108"/>
      <c r="AQ68" s="12"/>
      <c r="AR68" s="12"/>
      <c r="AS68" s="12"/>
      <c r="AT68" s="12"/>
      <c r="AU68" s="108"/>
      <c r="AV68" s="12"/>
      <c r="AZ68" s="108"/>
      <c r="BF68" s="108"/>
      <c r="BK68" s="108"/>
      <c r="BQ68" s="108"/>
      <c r="BV68" s="108"/>
      <c r="CA68" s="108"/>
      <c r="CF68" s="108"/>
      <c r="CL68" s="108"/>
    </row>
    <row r="69" spans="1:90" hidden="1">
      <c r="B69" t="s">
        <v>110</v>
      </c>
      <c r="D69" t="s">
        <v>76</v>
      </c>
      <c r="E69" s="89"/>
      <c r="F69" s="76"/>
      <c r="G69" s="76"/>
      <c r="H69" s="76"/>
      <c r="I69" s="76"/>
      <c r="J69" s="77"/>
      <c r="K69" s="44">
        <v>1</v>
      </c>
      <c r="L69" s="44">
        <f>11/12</f>
        <v>0.91666666666666663</v>
      </c>
      <c r="M69" s="44">
        <f>11/12</f>
        <v>0.91666666666666663</v>
      </c>
      <c r="N69" s="44">
        <f>11/12</f>
        <v>0.91666666666666663</v>
      </c>
      <c r="O69" s="108"/>
      <c r="P69" s="147"/>
      <c r="Q69" s="147"/>
      <c r="R69" s="147"/>
      <c r="S69" s="147"/>
      <c r="T69" s="108"/>
      <c r="U69" s="147"/>
      <c r="V69" s="15"/>
      <c r="W69" s="15"/>
      <c r="X69" s="15"/>
      <c r="Y69" s="15"/>
      <c r="Z69" s="113"/>
      <c r="AA69" s="206"/>
      <c r="AB69" s="206"/>
      <c r="AC69" s="206"/>
      <c r="AD69" s="206"/>
      <c r="AE69" s="108"/>
      <c r="AF69" s="206"/>
      <c r="AG69" s="206"/>
      <c r="AH69" s="206"/>
      <c r="AI69" s="206"/>
      <c r="AJ69" s="108"/>
      <c r="AK69" s="206"/>
      <c r="AL69" s="206"/>
      <c r="AM69" s="206"/>
      <c r="AN69" s="206"/>
      <c r="AO69" s="12"/>
      <c r="AP69" s="108"/>
      <c r="AQ69" s="12"/>
      <c r="AR69" s="12"/>
      <c r="AS69" s="12"/>
      <c r="AT69" s="12"/>
      <c r="AU69" s="108"/>
      <c r="AV69" s="12"/>
      <c r="AZ69" s="108"/>
      <c r="BF69" s="108"/>
      <c r="BK69" s="108"/>
      <c r="BQ69" s="108"/>
      <c r="BV69" s="108"/>
      <c r="CA69" s="108"/>
      <c r="CF69" s="108"/>
      <c r="CL69" s="108"/>
    </row>
    <row r="70" spans="1:90" hidden="1">
      <c r="B70" t="s">
        <v>110</v>
      </c>
      <c r="D70" t="s">
        <v>77</v>
      </c>
      <c r="E70" s="89"/>
      <c r="F70" s="76"/>
      <c r="G70" s="76"/>
      <c r="H70" s="76"/>
      <c r="I70" s="76"/>
      <c r="J70" s="77"/>
      <c r="K70" s="44">
        <v>1</v>
      </c>
      <c r="L70" s="44">
        <v>1</v>
      </c>
      <c r="M70" s="44">
        <v>1</v>
      </c>
      <c r="N70" s="44">
        <v>1</v>
      </c>
      <c r="O70" s="108"/>
      <c r="P70" s="147"/>
      <c r="Q70" s="147"/>
      <c r="R70" s="147"/>
      <c r="S70" s="147"/>
      <c r="T70" s="108"/>
      <c r="U70" s="147"/>
      <c r="V70" s="15"/>
      <c r="W70" s="15"/>
      <c r="X70" s="15"/>
      <c r="Y70" s="15"/>
      <c r="Z70" s="113"/>
      <c r="AA70" s="206"/>
      <c r="AB70" s="206"/>
      <c r="AC70" s="206"/>
      <c r="AD70" s="206"/>
      <c r="AE70" s="108"/>
      <c r="AF70" s="206"/>
      <c r="AG70" s="206"/>
      <c r="AH70" s="206"/>
      <c r="AI70" s="206"/>
      <c r="AJ70" s="108"/>
      <c r="AK70" s="206"/>
      <c r="AL70" s="206"/>
      <c r="AM70" s="206"/>
      <c r="AN70" s="206"/>
      <c r="AO70" s="12"/>
      <c r="AP70" s="108"/>
      <c r="AQ70" s="12"/>
      <c r="AR70" s="12"/>
      <c r="AS70" s="12"/>
      <c r="AT70" s="12"/>
      <c r="AU70" s="108"/>
      <c r="AV70" s="12"/>
      <c r="AZ70" s="108"/>
      <c r="BF70" s="108"/>
      <c r="BK70" s="108"/>
      <c r="BQ70" s="108"/>
      <c r="BV70" s="108"/>
      <c r="CA70" s="108"/>
      <c r="CF70" s="108"/>
      <c r="CL70" s="108"/>
    </row>
    <row r="71" spans="1:90" hidden="1">
      <c r="B71" t="s">
        <v>110</v>
      </c>
      <c r="D71" t="s">
        <v>78</v>
      </c>
      <c r="E71" s="89"/>
      <c r="F71" s="76"/>
      <c r="G71" s="76"/>
      <c r="H71" s="76"/>
      <c r="I71" s="76"/>
      <c r="J71" s="77"/>
      <c r="K71" s="44">
        <v>1</v>
      </c>
      <c r="L71" s="44">
        <f>5/6</f>
        <v>0.83333333333333337</v>
      </c>
      <c r="M71" s="44">
        <v>1</v>
      </c>
      <c r="N71" s="44">
        <v>1</v>
      </c>
      <c r="O71" s="108"/>
      <c r="P71" s="147"/>
      <c r="Q71" s="147"/>
      <c r="R71" s="147"/>
      <c r="S71" s="147"/>
      <c r="T71" s="108"/>
      <c r="U71" s="147"/>
      <c r="V71" s="15"/>
      <c r="W71" s="15"/>
      <c r="X71" s="15"/>
      <c r="Y71" s="15"/>
      <c r="Z71" s="113"/>
      <c r="AA71" s="206"/>
      <c r="AB71" s="206"/>
      <c r="AC71" s="206"/>
      <c r="AD71" s="206"/>
      <c r="AE71" s="108"/>
      <c r="AF71" s="206"/>
      <c r="AG71" s="206"/>
      <c r="AH71" s="206"/>
      <c r="AI71" s="206"/>
      <c r="AJ71" s="108"/>
      <c r="AK71" s="206"/>
      <c r="AL71" s="206"/>
      <c r="AM71" s="206"/>
      <c r="AN71" s="206"/>
      <c r="AO71" s="12"/>
      <c r="AP71" s="108"/>
      <c r="AQ71" s="12"/>
      <c r="AR71" s="12"/>
      <c r="AS71" s="12"/>
      <c r="AT71" s="12"/>
      <c r="AU71" s="108"/>
      <c r="AV71" s="12"/>
      <c r="AZ71" s="108"/>
      <c r="BF71" s="108"/>
      <c r="BK71" s="108"/>
      <c r="BQ71" s="108"/>
      <c r="BV71" s="108"/>
      <c r="CA71" s="108"/>
      <c r="CF71" s="108"/>
      <c r="CL71" s="108"/>
    </row>
    <row r="72" spans="1:90" hidden="1">
      <c r="B72" t="s">
        <v>110</v>
      </c>
      <c r="D72" t="s">
        <v>89</v>
      </c>
      <c r="E72" s="89"/>
      <c r="F72" s="76"/>
      <c r="G72" s="76"/>
      <c r="H72" s="76"/>
      <c r="I72" s="76"/>
      <c r="J72" s="77"/>
      <c r="K72" s="44">
        <v>1</v>
      </c>
      <c r="L72" s="44">
        <v>1</v>
      </c>
      <c r="M72" s="44">
        <v>1</v>
      </c>
      <c r="N72" s="44">
        <v>1</v>
      </c>
      <c r="O72" s="108"/>
      <c r="P72" s="147"/>
      <c r="Q72" s="147"/>
      <c r="R72" s="147"/>
      <c r="S72" s="147"/>
      <c r="T72" s="108"/>
      <c r="U72" s="162"/>
      <c r="V72" s="15"/>
      <c r="W72" s="15"/>
      <c r="X72" s="15"/>
      <c r="Y72" s="15"/>
      <c r="Z72" s="113"/>
      <c r="AA72" s="206"/>
      <c r="AB72" s="206"/>
      <c r="AC72" s="206"/>
      <c r="AD72" s="206"/>
      <c r="AE72" s="108"/>
      <c r="AF72" s="206"/>
      <c r="AG72" s="206"/>
      <c r="AH72" s="206"/>
      <c r="AI72" s="206"/>
      <c r="AJ72" s="108"/>
      <c r="AK72" s="206"/>
      <c r="AL72" s="206"/>
      <c r="AM72" s="206"/>
      <c r="AN72" s="206"/>
      <c r="AO72" s="12"/>
      <c r="AP72" s="108"/>
      <c r="AQ72" s="12"/>
      <c r="AR72" s="12"/>
      <c r="AS72" s="12"/>
      <c r="AT72" s="12"/>
      <c r="AU72" s="108"/>
      <c r="AV72" s="12"/>
      <c r="AZ72" s="108"/>
      <c r="BF72" s="108"/>
      <c r="BK72" s="108"/>
      <c r="BQ72" s="108"/>
      <c r="BV72" s="108"/>
      <c r="CA72" s="108"/>
      <c r="CF72" s="108"/>
      <c r="CL72" s="108"/>
    </row>
    <row r="73" spans="1:90" s="11" customFormat="1">
      <c r="A73" s="281" t="s">
        <v>112</v>
      </c>
      <c r="B73" s="10"/>
      <c r="C73" s="33" t="s">
        <v>2</v>
      </c>
      <c r="E73" s="90"/>
      <c r="F73" s="78"/>
      <c r="G73" s="78"/>
      <c r="H73" s="78"/>
      <c r="I73" s="78"/>
      <c r="J73" s="79"/>
      <c r="K73" s="47"/>
      <c r="L73" s="47"/>
      <c r="M73" s="47"/>
      <c r="N73" s="47"/>
      <c r="O73" s="109"/>
      <c r="P73" s="148"/>
      <c r="Q73" s="148"/>
      <c r="R73" s="148"/>
      <c r="S73" s="148"/>
      <c r="T73" s="109"/>
      <c r="U73" s="13"/>
      <c r="V73" s="13"/>
      <c r="W73" s="13"/>
      <c r="X73" s="13"/>
      <c r="Y73" s="148"/>
      <c r="Z73" s="114"/>
      <c r="AA73" s="47"/>
      <c r="AB73" s="47"/>
      <c r="AC73" s="13"/>
      <c r="AD73" s="13"/>
      <c r="AE73" s="109"/>
      <c r="AF73" s="13"/>
      <c r="AG73" s="13"/>
      <c r="AH73" s="13"/>
      <c r="AI73" s="13"/>
      <c r="AJ73" s="109"/>
      <c r="AK73" s="13"/>
      <c r="AL73" s="13"/>
      <c r="AM73" s="13"/>
      <c r="AN73" s="13"/>
      <c r="AO73" s="13"/>
      <c r="AP73" s="109"/>
      <c r="AQ73" s="13"/>
      <c r="AR73" s="13"/>
      <c r="AS73" s="13"/>
      <c r="AT73" s="13"/>
      <c r="AU73" s="109"/>
      <c r="AV73" s="13"/>
      <c r="AZ73" s="109"/>
      <c r="BF73" s="109"/>
      <c r="BK73" s="109"/>
      <c r="BQ73" s="109"/>
      <c r="BV73" s="109"/>
      <c r="CA73" s="109"/>
      <c r="CD73" s="41"/>
      <c r="CE73" s="41"/>
      <c r="CF73" s="109"/>
      <c r="CG73" s="41"/>
      <c r="CH73" s="41"/>
      <c r="CI73" s="41"/>
      <c r="CJ73" s="41"/>
      <c r="CK73" s="41"/>
      <c r="CL73" s="109"/>
    </row>
    <row r="74" spans="1:90">
      <c r="B74" t="s">
        <v>113</v>
      </c>
      <c r="D74" t="s">
        <v>67</v>
      </c>
      <c r="E74" s="91"/>
      <c r="F74" s="42"/>
      <c r="G74" s="42"/>
      <c r="H74" s="42"/>
      <c r="I74" s="42"/>
      <c r="J74" s="69"/>
      <c r="K74" s="42">
        <v>253336</v>
      </c>
      <c r="L74" s="42">
        <v>195640</v>
      </c>
      <c r="M74" s="42">
        <v>161510</v>
      </c>
      <c r="N74" s="14">
        <v>170289</v>
      </c>
      <c r="O74" s="102"/>
      <c r="P74" s="14">
        <v>160595</v>
      </c>
      <c r="Q74" s="14">
        <v>120772</v>
      </c>
      <c r="R74" s="14">
        <v>170130</v>
      </c>
      <c r="S74" s="14">
        <v>162625</v>
      </c>
      <c r="T74" s="102"/>
      <c r="U74" s="14">
        <v>144812</v>
      </c>
      <c r="V74" s="14">
        <v>142949</v>
      </c>
      <c r="W74" s="14">
        <v>206734</v>
      </c>
      <c r="X74" s="14">
        <v>229600</v>
      </c>
      <c r="Y74" s="14">
        <v>252866</v>
      </c>
      <c r="Z74" s="115"/>
      <c r="AA74" s="42">
        <v>283275</v>
      </c>
      <c r="AB74" s="42">
        <v>233298</v>
      </c>
      <c r="AC74" s="14">
        <v>191756</v>
      </c>
      <c r="AD74" s="14">
        <v>170755</v>
      </c>
      <c r="AE74" s="106"/>
      <c r="AF74" s="14">
        <v>97245</v>
      </c>
      <c r="AG74" s="14">
        <v>193922</v>
      </c>
      <c r="AH74" s="14">
        <v>178173</v>
      </c>
      <c r="AI74" s="14">
        <v>168717</v>
      </c>
      <c r="AJ74" s="106"/>
      <c r="AK74" s="14">
        <v>159423</v>
      </c>
      <c r="AL74" s="14">
        <v>161285</v>
      </c>
      <c r="AM74" s="249">
        <v>144260</v>
      </c>
      <c r="AN74" s="14">
        <v>123471</v>
      </c>
      <c r="AO74" s="14">
        <v>121912</v>
      </c>
      <c r="AP74" s="106"/>
      <c r="AQ74" s="14">
        <v>109780</v>
      </c>
      <c r="AR74" s="14">
        <v>83607</v>
      </c>
      <c r="AS74" s="14">
        <v>84937</v>
      </c>
      <c r="AT74" s="14">
        <v>84917</v>
      </c>
      <c r="AU74" s="106"/>
      <c r="AV74" s="14">
        <v>80050</v>
      </c>
      <c r="AW74" s="14">
        <v>70326</v>
      </c>
      <c r="AX74" s="14">
        <v>70879</v>
      </c>
      <c r="AY74" s="14">
        <v>73355</v>
      </c>
      <c r="AZ74" s="106"/>
      <c r="BA74" s="14">
        <v>86737</v>
      </c>
      <c r="BB74" s="14">
        <v>52239</v>
      </c>
      <c r="BC74" s="14">
        <v>54417</v>
      </c>
      <c r="BD74" s="14">
        <v>85902</v>
      </c>
      <c r="BE74" s="14">
        <v>121183</v>
      </c>
      <c r="BF74" s="106"/>
      <c r="BG74" s="14">
        <v>119448</v>
      </c>
      <c r="BH74" s="14">
        <v>90830</v>
      </c>
      <c r="BI74" s="14">
        <v>158894</v>
      </c>
      <c r="BJ74" s="14">
        <v>188122</v>
      </c>
      <c r="BK74" s="106"/>
      <c r="BL74" s="14">
        <v>231065</v>
      </c>
      <c r="BM74" s="14">
        <v>209513</v>
      </c>
      <c r="BN74" s="14">
        <v>253918</v>
      </c>
      <c r="BO74" s="14">
        <v>314491</v>
      </c>
      <c r="BP74" s="14">
        <v>268650</v>
      </c>
      <c r="BQ74" s="102"/>
      <c r="BR74" s="14">
        <v>243584</v>
      </c>
      <c r="BS74" s="14">
        <v>233680</v>
      </c>
      <c r="BT74" s="14">
        <v>225424</v>
      </c>
      <c r="BU74" s="14">
        <v>216663</v>
      </c>
      <c r="BV74" s="102"/>
      <c r="BW74" s="14">
        <v>249294</v>
      </c>
      <c r="BX74" s="14">
        <v>252880</v>
      </c>
      <c r="BY74" s="14">
        <v>214460</v>
      </c>
      <c r="BZ74" s="14">
        <v>182680</v>
      </c>
      <c r="CA74" s="102"/>
      <c r="CB74" s="14">
        <v>206972</v>
      </c>
      <c r="CC74" s="14">
        <v>167235</v>
      </c>
      <c r="CD74" s="42">
        <v>168455</v>
      </c>
      <c r="CE74" s="42">
        <v>168053</v>
      </c>
      <c r="CF74" s="102"/>
      <c r="CG74" s="42">
        <v>156186</v>
      </c>
      <c r="CH74" s="42">
        <v>139545</v>
      </c>
      <c r="CI74" s="42">
        <v>106155</v>
      </c>
      <c r="CJ74" s="42">
        <v>115119</v>
      </c>
      <c r="CK74" s="42">
        <v>99570</v>
      </c>
      <c r="CL74" s="102"/>
    </row>
    <row r="75" spans="1:90">
      <c r="B75" t="s">
        <v>113</v>
      </c>
      <c r="D75" t="s">
        <v>68</v>
      </c>
      <c r="E75" s="91"/>
      <c r="F75" s="42"/>
      <c r="G75" s="42"/>
      <c r="H75" s="42"/>
      <c r="I75" s="42"/>
      <c r="J75" s="69"/>
      <c r="K75" s="42">
        <v>190226</v>
      </c>
      <c r="L75" s="42">
        <v>182029</v>
      </c>
      <c r="M75" s="42">
        <v>182715</v>
      </c>
      <c r="N75" s="14">
        <v>163540</v>
      </c>
      <c r="O75" s="102"/>
      <c r="P75" s="14">
        <v>149286</v>
      </c>
      <c r="Q75" s="14">
        <v>89021</v>
      </c>
      <c r="R75" s="14">
        <v>196885</v>
      </c>
      <c r="S75" s="14">
        <v>137147</v>
      </c>
      <c r="T75" s="102"/>
      <c r="U75" s="14">
        <v>112013</v>
      </c>
      <c r="V75" s="14">
        <v>109720</v>
      </c>
      <c r="W75" s="14">
        <v>157877</v>
      </c>
      <c r="X75" s="14">
        <v>276159</v>
      </c>
      <c r="Y75" s="14">
        <v>384712</v>
      </c>
      <c r="Z75" s="115"/>
      <c r="AA75" s="42">
        <v>384375</v>
      </c>
      <c r="AB75" s="42">
        <v>388374</v>
      </c>
      <c r="AC75" s="14">
        <v>394841</v>
      </c>
      <c r="AD75" s="14">
        <v>347165</v>
      </c>
      <c r="AE75" s="106"/>
      <c r="AF75" s="14">
        <v>310930</v>
      </c>
      <c r="AG75" s="14">
        <v>448770</v>
      </c>
      <c r="AH75" s="14">
        <v>499177</v>
      </c>
      <c r="AI75" s="14">
        <v>540872</v>
      </c>
      <c r="AJ75" s="106"/>
      <c r="AK75" s="14">
        <v>597099</v>
      </c>
      <c r="AL75" s="14">
        <v>616379</v>
      </c>
      <c r="AM75" s="249">
        <v>442974</v>
      </c>
      <c r="AN75" s="14">
        <v>459907</v>
      </c>
      <c r="AO75" s="14">
        <v>439409</v>
      </c>
      <c r="AP75" s="106"/>
      <c r="AQ75" s="14">
        <v>456019</v>
      </c>
      <c r="AR75" s="14">
        <v>388596</v>
      </c>
      <c r="AS75" s="14">
        <v>383788</v>
      </c>
      <c r="AT75" s="14">
        <v>399328</v>
      </c>
      <c r="AU75" s="106"/>
      <c r="AV75" s="14">
        <v>406375</v>
      </c>
      <c r="AW75" s="14">
        <v>351753</v>
      </c>
      <c r="AX75" s="14">
        <v>314451</v>
      </c>
      <c r="AY75" s="14">
        <v>287752</v>
      </c>
      <c r="AZ75" s="106"/>
      <c r="BA75" s="14">
        <v>329928</v>
      </c>
      <c r="BB75" s="14">
        <v>335388</v>
      </c>
      <c r="BC75" s="14">
        <v>286474</v>
      </c>
      <c r="BD75" s="14">
        <v>258879</v>
      </c>
      <c r="BE75" s="14">
        <v>215932</v>
      </c>
      <c r="BF75" s="106"/>
      <c r="BG75" s="14">
        <v>232783</v>
      </c>
      <c r="BH75" s="14">
        <v>225121</v>
      </c>
      <c r="BI75" s="14">
        <v>234495</v>
      </c>
      <c r="BJ75" s="14">
        <v>224078</v>
      </c>
      <c r="BK75" s="106"/>
      <c r="BL75" s="14">
        <v>233712</v>
      </c>
      <c r="BM75" s="14">
        <v>232974</v>
      </c>
      <c r="BN75" s="14">
        <v>249207</v>
      </c>
      <c r="BO75" s="14">
        <v>287275</v>
      </c>
      <c r="BP75" s="14">
        <v>244145</v>
      </c>
      <c r="BQ75" s="102"/>
      <c r="BR75" s="14">
        <v>214597</v>
      </c>
      <c r="BS75" s="14">
        <v>171954</v>
      </c>
      <c r="BT75" s="14">
        <v>142905</v>
      </c>
      <c r="BU75" s="14">
        <v>80056</v>
      </c>
      <c r="BV75" s="102"/>
      <c r="BW75" s="14">
        <v>120642</v>
      </c>
      <c r="BX75" s="14">
        <v>128119</v>
      </c>
      <c r="BY75" s="14">
        <v>178494</v>
      </c>
      <c r="BZ75" s="14">
        <v>170377</v>
      </c>
      <c r="CA75" s="102"/>
      <c r="CB75" s="14">
        <v>193462</v>
      </c>
      <c r="CC75" s="14">
        <v>216918</v>
      </c>
      <c r="CD75" s="42">
        <v>256052</v>
      </c>
      <c r="CE75" s="42">
        <v>270740</v>
      </c>
      <c r="CF75" s="102"/>
      <c r="CG75" s="42">
        <v>252350</v>
      </c>
      <c r="CH75" s="42">
        <v>277838</v>
      </c>
      <c r="CI75" s="42">
        <v>301209</v>
      </c>
      <c r="CJ75" s="42">
        <v>326195</v>
      </c>
      <c r="CK75" s="42">
        <v>257772</v>
      </c>
      <c r="CL75" s="102"/>
    </row>
    <row r="76" spans="1:90">
      <c r="B76" t="s">
        <v>113</v>
      </c>
      <c r="D76" t="s">
        <v>76</v>
      </c>
      <c r="E76" s="277"/>
      <c r="F76" s="42"/>
      <c r="G76" s="42"/>
      <c r="H76" s="42"/>
      <c r="I76" s="42"/>
      <c r="J76" s="69"/>
      <c r="K76" s="42">
        <v>417389</v>
      </c>
      <c r="L76" s="42">
        <v>201120</v>
      </c>
      <c r="M76" s="42">
        <v>155358</v>
      </c>
      <c r="N76" s="14">
        <v>566267</v>
      </c>
      <c r="O76" s="102"/>
      <c r="P76" s="14">
        <v>119559</v>
      </c>
      <c r="Q76" s="14">
        <v>25501</v>
      </c>
      <c r="R76" s="14">
        <v>47286</v>
      </c>
      <c r="S76" s="14">
        <v>630856</v>
      </c>
      <c r="T76" s="102"/>
      <c r="U76" s="14">
        <v>421685</v>
      </c>
      <c r="V76" s="14">
        <v>83389</v>
      </c>
      <c r="W76" s="14">
        <v>88051</v>
      </c>
      <c r="X76" s="14">
        <v>51911</v>
      </c>
      <c r="Y76" s="14">
        <v>535316</v>
      </c>
      <c r="Z76" s="115"/>
      <c r="AA76" s="42">
        <v>189618</v>
      </c>
      <c r="AB76" s="42">
        <v>30581</v>
      </c>
      <c r="AC76" s="14">
        <v>32672</v>
      </c>
      <c r="AD76" s="14">
        <v>639868</v>
      </c>
      <c r="AE76" s="106"/>
      <c r="AF76" s="14">
        <v>92573</v>
      </c>
      <c r="AG76" s="14">
        <v>157198</v>
      </c>
      <c r="AH76" s="14">
        <v>149226</v>
      </c>
      <c r="AI76" s="14">
        <v>702971</v>
      </c>
      <c r="AJ76" s="106"/>
      <c r="AK76" s="14">
        <f>241226+7821</f>
        <v>249047</v>
      </c>
      <c r="AL76" s="14">
        <f>249098+7821</f>
        <v>256919</v>
      </c>
      <c r="AM76" s="249">
        <f>233711+7821</f>
        <v>241532</v>
      </c>
      <c r="AN76" s="14">
        <f>65422+7821</f>
        <v>73243</v>
      </c>
      <c r="AO76" s="14">
        <f>380805+16317</f>
        <v>397122</v>
      </c>
      <c r="AP76" s="106"/>
      <c r="AQ76" s="14">
        <f>85580+16317</f>
        <v>101897</v>
      </c>
      <c r="AR76" s="14">
        <f>73327+8497</f>
        <v>81824</v>
      </c>
      <c r="AS76" s="14">
        <f>72545+969</f>
        <v>73514</v>
      </c>
      <c r="AT76" s="14">
        <f>579738+12149</f>
        <v>591887</v>
      </c>
      <c r="AU76" s="106"/>
      <c r="AV76" s="14">
        <f>443701+6811</f>
        <v>450512</v>
      </c>
      <c r="AW76" s="14">
        <f>436402+6811</f>
        <v>443213</v>
      </c>
      <c r="AX76" s="14">
        <f>93351+6811</f>
        <v>100162</v>
      </c>
      <c r="AY76" s="14">
        <f>775773+6811</f>
        <v>782584</v>
      </c>
      <c r="AZ76" s="106"/>
      <c r="BA76" s="14">
        <f>64813+6811</f>
        <v>71624</v>
      </c>
      <c r="BB76" s="14">
        <f>17397+6811</f>
        <v>24208</v>
      </c>
      <c r="BC76" s="14">
        <f>6811+15833</f>
        <v>22644</v>
      </c>
      <c r="BD76" s="14">
        <f>17826+6811</f>
        <v>24637</v>
      </c>
      <c r="BE76" s="14">
        <f>521948+6811</f>
        <v>528759</v>
      </c>
      <c r="BF76" s="106"/>
      <c r="BG76" s="14">
        <f>183479+6811</f>
        <v>190290</v>
      </c>
      <c r="BH76" s="14">
        <f>33116+6811</f>
        <v>39927</v>
      </c>
      <c r="BI76" s="14">
        <f>22716+6811</f>
        <v>29527</v>
      </c>
      <c r="BJ76" s="14">
        <f>641616+6811</f>
        <v>648427</v>
      </c>
      <c r="BK76" s="106"/>
      <c r="BL76" s="14">
        <f>6811+111204</f>
        <v>118015</v>
      </c>
      <c r="BM76" s="14">
        <f>64765+6811</f>
        <v>71576</v>
      </c>
      <c r="BN76" s="14">
        <f>6811+22789</f>
        <v>29600</v>
      </c>
      <c r="BO76" s="14">
        <f>6811+22789</f>
        <v>29600</v>
      </c>
      <c r="BP76" s="14">
        <f>6811+592274</f>
        <v>599085</v>
      </c>
      <c r="BQ76" s="102"/>
      <c r="BR76" s="14">
        <f>6811+564129</f>
        <v>570940</v>
      </c>
      <c r="BS76" s="14">
        <f>86342+6811</f>
        <v>93153</v>
      </c>
      <c r="BT76" s="14">
        <f>6811+63830</f>
        <v>70641</v>
      </c>
      <c r="BU76" s="14">
        <f>6811+585300</f>
        <v>592111</v>
      </c>
      <c r="BV76" s="102"/>
      <c r="BW76" s="14">
        <f>6811+501436</f>
        <v>508247</v>
      </c>
      <c r="BX76" s="14">
        <f>6811+108658</f>
        <v>115469</v>
      </c>
      <c r="BY76" s="14">
        <f>16138+6811</f>
        <v>22949</v>
      </c>
      <c r="BZ76" s="14">
        <f>582109+6811</f>
        <v>588920</v>
      </c>
      <c r="CA76" s="102"/>
      <c r="CB76" s="14">
        <f>6811+494713</f>
        <v>501524</v>
      </c>
      <c r="CC76" s="14">
        <f>107776</f>
        <v>107776</v>
      </c>
      <c r="CD76" s="42">
        <v>63642</v>
      </c>
      <c r="CE76" s="42">
        <v>80716</v>
      </c>
      <c r="CF76" s="102"/>
      <c r="CG76" s="42">
        <v>643745</v>
      </c>
      <c r="CH76" s="42">
        <v>495513</v>
      </c>
      <c r="CI76" s="42">
        <v>473830</v>
      </c>
      <c r="CJ76" s="42">
        <v>16584</v>
      </c>
      <c r="CK76" s="42">
        <v>697074</v>
      </c>
      <c r="CL76" s="102"/>
    </row>
    <row r="77" spans="1:90">
      <c r="B77" t="s">
        <v>113</v>
      </c>
      <c r="D77" t="s">
        <v>77</v>
      </c>
      <c r="E77" s="91"/>
      <c r="F77" s="42"/>
      <c r="G77" s="42"/>
      <c r="H77" s="42"/>
      <c r="I77" s="42"/>
      <c r="J77" s="69"/>
      <c r="K77" s="42">
        <v>200688</v>
      </c>
      <c r="L77" s="42">
        <v>88909</v>
      </c>
      <c r="M77" s="42">
        <v>39823</v>
      </c>
      <c r="N77" s="14">
        <v>272845</v>
      </c>
      <c r="O77" s="102"/>
      <c r="P77" s="14">
        <v>88035</v>
      </c>
      <c r="Q77" s="14">
        <v>32675</v>
      </c>
      <c r="R77" s="14">
        <v>30615</v>
      </c>
      <c r="S77" s="14">
        <f>14943+288867</f>
        <v>303810</v>
      </c>
      <c r="T77" s="102"/>
      <c r="U77" s="14">
        <f>108176+14943</f>
        <v>123119</v>
      </c>
      <c r="V77" s="14">
        <v>35174</v>
      </c>
      <c r="W77" s="14">
        <v>28502</v>
      </c>
      <c r="X77" s="14">
        <v>15665</v>
      </c>
      <c r="Y77" s="14">
        <v>28264</v>
      </c>
      <c r="Z77" s="115"/>
      <c r="AA77" s="42">
        <v>28933</v>
      </c>
      <c r="AB77" s="42">
        <v>0</v>
      </c>
      <c r="AC77" s="14">
        <v>436</v>
      </c>
      <c r="AD77" s="14">
        <v>209936</v>
      </c>
      <c r="AE77" s="106"/>
      <c r="AF77" s="14">
        <v>28725</v>
      </c>
      <c r="AG77" s="14">
        <v>32925</v>
      </c>
      <c r="AH77" s="14">
        <v>32925</v>
      </c>
      <c r="AI77" s="14">
        <f>250262+8543</f>
        <v>258805</v>
      </c>
      <c r="AJ77" s="106"/>
      <c r="AK77" s="14">
        <f>15102+854</f>
        <v>15956</v>
      </c>
      <c r="AL77" s="14">
        <v>15716</v>
      </c>
      <c r="AM77" s="249">
        <f>3427+145</f>
        <v>3572</v>
      </c>
      <c r="AN77" s="14">
        <f>323+145</f>
        <v>468</v>
      </c>
      <c r="AO77" s="14">
        <f>51551+8973</f>
        <v>60524</v>
      </c>
      <c r="AP77" s="106"/>
      <c r="AQ77" s="14">
        <f>145</f>
        <v>145</v>
      </c>
      <c r="AR77" s="14">
        <v>0</v>
      </c>
      <c r="AS77" s="14">
        <v>0</v>
      </c>
      <c r="AT77" s="14">
        <f>56704+9919</f>
        <v>66623</v>
      </c>
      <c r="AU77" s="106"/>
      <c r="AV77" s="14">
        <v>0</v>
      </c>
      <c r="AW77" s="14">
        <v>0</v>
      </c>
      <c r="AX77" s="14">
        <v>0</v>
      </c>
      <c r="AY77" s="14">
        <f>324329+1473</f>
        <v>325802</v>
      </c>
      <c r="AZ77" s="106"/>
      <c r="BA77" s="14">
        <v>8543</v>
      </c>
      <c r="BB77" s="14">
        <v>8543</v>
      </c>
      <c r="BC77" s="14">
        <v>8543</v>
      </c>
      <c r="BD77" s="14">
        <v>8543</v>
      </c>
      <c r="BE77" s="14">
        <f>23658+3345</f>
        <v>27003</v>
      </c>
      <c r="BF77" s="106"/>
      <c r="BG77" s="14">
        <f>23658+1317</f>
        <v>24975</v>
      </c>
      <c r="BH77" s="14">
        <f>23658</f>
        <v>23658</v>
      </c>
      <c r="BI77" s="14">
        <v>17370</v>
      </c>
      <c r="BJ77" s="14">
        <f>17370+22264</f>
        <v>39634</v>
      </c>
      <c r="BK77" s="106"/>
      <c r="BL77" s="14">
        <f>18462+6085</f>
        <v>24547</v>
      </c>
      <c r="BM77" s="14">
        <f>18462</f>
        <v>18462</v>
      </c>
      <c r="BN77" s="14">
        <v>18462</v>
      </c>
      <c r="BO77" s="14">
        <v>18462</v>
      </c>
      <c r="BP77" s="14">
        <f>27289+12815</f>
        <v>40104</v>
      </c>
      <c r="BQ77" s="102"/>
      <c r="BR77" s="14">
        <v>6288</v>
      </c>
      <c r="BS77" s="14">
        <v>0</v>
      </c>
      <c r="BT77" s="14">
        <v>0</v>
      </c>
      <c r="BU77" s="14">
        <f>8828+35131</f>
        <v>43959</v>
      </c>
      <c r="BV77" s="102"/>
      <c r="BW77" s="14">
        <f>8828+28292</f>
        <v>37120</v>
      </c>
      <c r="BX77" s="14">
        <f>8828</f>
        <v>8828</v>
      </c>
      <c r="BY77" s="14">
        <v>0</v>
      </c>
      <c r="BZ77" s="14">
        <f>23589+7973</f>
        <v>31562</v>
      </c>
      <c r="CA77" s="102"/>
      <c r="CB77" s="14">
        <f>7973</f>
        <v>7973</v>
      </c>
      <c r="CC77" s="14">
        <v>0</v>
      </c>
      <c r="CD77" s="42">
        <v>0</v>
      </c>
      <c r="CE77" s="42">
        <v>0</v>
      </c>
      <c r="CF77" s="102"/>
      <c r="CG77" s="42">
        <v>25727</v>
      </c>
      <c r="CH77" s="42">
        <v>0</v>
      </c>
      <c r="CI77" s="42">
        <v>0</v>
      </c>
      <c r="CJ77" s="42">
        <v>0</v>
      </c>
      <c r="CK77" s="42">
        <f>192672+6085</f>
        <v>198757</v>
      </c>
      <c r="CL77" s="102"/>
    </row>
    <row r="78" spans="1:90">
      <c r="B78" t="s">
        <v>113</v>
      </c>
      <c r="D78" t="s">
        <v>78</v>
      </c>
      <c r="E78" s="91"/>
      <c r="F78" s="42"/>
      <c r="G78" s="42"/>
      <c r="H78" s="42"/>
      <c r="I78" s="42"/>
      <c r="J78" s="69"/>
      <c r="K78" s="42">
        <v>143112</v>
      </c>
      <c r="L78" s="42">
        <v>67988</v>
      </c>
      <c r="M78" s="42">
        <v>48787</v>
      </c>
      <c r="N78" s="14">
        <v>194531</v>
      </c>
      <c r="O78" s="102"/>
      <c r="P78" s="14">
        <v>103190</v>
      </c>
      <c r="Q78" s="14">
        <v>21926</v>
      </c>
      <c r="R78" s="14">
        <v>47119</v>
      </c>
      <c r="S78" s="14">
        <v>227239</v>
      </c>
      <c r="T78" s="102"/>
      <c r="U78" s="14">
        <v>135141</v>
      </c>
      <c r="V78" s="14">
        <v>22702</v>
      </c>
      <c r="W78" s="14">
        <v>59012</v>
      </c>
      <c r="X78" s="14">
        <v>43561</v>
      </c>
      <c r="Y78" s="14">
        <v>79810</v>
      </c>
      <c r="Z78" s="115"/>
      <c r="AA78" s="42">
        <v>9930</v>
      </c>
      <c r="AB78" s="42">
        <v>6348</v>
      </c>
      <c r="AC78" s="14">
        <v>6348</v>
      </c>
      <c r="AD78" s="14">
        <v>207383</v>
      </c>
      <c r="AE78" s="106"/>
      <c r="AF78" s="14">
        <v>8328</v>
      </c>
      <c r="AG78" s="14">
        <v>14676</v>
      </c>
      <c r="AH78" s="14">
        <v>14676</v>
      </c>
      <c r="AI78" s="14">
        <f>245567+18197</f>
        <v>263764</v>
      </c>
      <c r="AJ78" s="106"/>
      <c r="AK78" s="14">
        <f>76620+12695</f>
        <v>89315</v>
      </c>
      <c r="AL78" s="14">
        <f>48194+6348</f>
        <v>54542</v>
      </c>
      <c r="AM78" s="249">
        <f>8328</f>
        <v>8328</v>
      </c>
      <c r="AN78" s="14">
        <v>14901</v>
      </c>
      <c r="AO78" s="14">
        <f>129637</f>
        <v>129637</v>
      </c>
      <c r="AP78" s="106"/>
      <c r="AQ78" s="14">
        <v>13366</v>
      </c>
      <c r="AR78" s="14">
        <v>13366</v>
      </c>
      <c r="AS78" s="14">
        <v>13366</v>
      </c>
      <c r="AT78" s="14">
        <f>99399</f>
        <v>99399</v>
      </c>
      <c r="AU78" s="106"/>
      <c r="AV78" s="14">
        <v>26279</v>
      </c>
      <c r="AW78" s="14">
        <v>26279</v>
      </c>
      <c r="AX78" s="14">
        <v>26279</v>
      </c>
      <c r="AY78" s="14">
        <f>229958</f>
        <v>229958</v>
      </c>
      <c r="AZ78" s="106"/>
      <c r="BA78" s="14">
        <v>20257</v>
      </c>
      <c r="BB78" s="14">
        <v>19720</v>
      </c>
      <c r="BC78" s="14">
        <v>19720</v>
      </c>
      <c r="BD78" s="14">
        <v>19720</v>
      </c>
      <c r="BE78" s="14">
        <v>20536</v>
      </c>
      <c r="BF78" s="106"/>
      <c r="BG78" s="14">
        <v>20442</v>
      </c>
      <c r="BH78" s="14">
        <f>19720</f>
        <v>19720</v>
      </c>
      <c r="BI78" s="14">
        <v>19720</v>
      </c>
      <c r="BJ78" s="14">
        <v>44914</v>
      </c>
      <c r="BK78" s="106"/>
      <c r="BL78" s="14">
        <v>19865</v>
      </c>
      <c r="BM78" s="14">
        <f>19865</f>
        <v>19865</v>
      </c>
      <c r="BN78" s="14">
        <v>19865</v>
      </c>
      <c r="BO78" s="14">
        <v>19720</v>
      </c>
      <c r="BP78" s="14">
        <v>65432</v>
      </c>
      <c r="BQ78" s="102"/>
      <c r="BR78" s="14">
        <f>27180</f>
        <v>27180</v>
      </c>
      <c r="BS78" s="14">
        <v>27180</v>
      </c>
      <c r="BT78" s="14">
        <v>27180</v>
      </c>
      <c r="BU78" s="14">
        <v>114827</v>
      </c>
      <c r="BV78" s="102"/>
      <c r="BW78" s="14">
        <v>44794</v>
      </c>
      <c r="BX78" s="14">
        <f>8142</f>
        <v>8142</v>
      </c>
      <c r="BY78" s="14">
        <v>0</v>
      </c>
      <c r="BZ78" s="14">
        <v>32686</v>
      </c>
      <c r="CA78" s="102"/>
      <c r="CB78" s="14">
        <f>6002</f>
        <v>6002</v>
      </c>
      <c r="CC78" s="14">
        <v>6002</v>
      </c>
      <c r="CD78" s="42">
        <v>0</v>
      </c>
      <c r="CE78" s="42">
        <v>0</v>
      </c>
      <c r="CF78" s="102"/>
      <c r="CG78" s="42">
        <v>24833</v>
      </c>
      <c r="CH78" s="42">
        <v>0</v>
      </c>
      <c r="CI78" s="42">
        <v>0</v>
      </c>
      <c r="CJ78" s="42">
        <v>0</v>
      </c>
      <c r="CK78" s="42">
        <v>70747</v>
      </c>
      <c r="CL78" s="102"/>
    </row>
    <row r="79" spans="1:90">
      <c r="B79" t="s">
        <v>113</v>
      </c>
      <c r="D79" t="s">
        <v>89</v>
      </c>
      <c r="E79" s="91"/>
      <c r="F79" s="42"/>
      <c r="G79" s="42"/>
      <c r="H79" s="42"/>
      <c r="I79" s="42"/>
      <c r="J79" s="69"/>
      <c r="K79" s="42">
        <f>74563+112637</f>
        <v>187200</v>
      </c>
      <c r="L79" s="42">
        <f>29365</f>
        <v>29365</v>
      </c>
      <c r="M79" s="42">
        <v>767</v>
      </c>
      <c r="N79" s="14">
        <f>320592+173847</f>
        <v>494439</v>
      </c>
      <c r="O79" s="102"/>
      <c r="P79" s="14">
        <f>92349+44574</f>
        <v>136923</v>
      </c>
      <c r="Q79" s="14">
        <v>9719</v>
      </c>
      <c r="R79" s="14">
        <f>14972</f>
        <v>14972</v>
      </c>
      <c r="S79" s="14">
        <f>208757+414929</f>
        <v>623686</v>
      </c>
      <c r="T79" s="102"/>
      <c r="U79" s="14">
        <f>54244+26695</f>
        <v>80939</v>
      </c>
      <c r="V79" s="14">
        <f>697+13151</f>
        <v>13848</v>
      </c>
      <c r="W79" s="14">
        <f>9065+13151</f>
        <v>22216</v>
      </c>
      <c r="X79" s="14">
        <v>1007</v>
      </c>
      <c r="Y79" s="14">
        <f>46985+115510</f>
        <v>162495</v>
      </c>
      <c r="Z79" s="115"/>
      <c r="AA79" s="42">
        <f>32635+45047</f>
        <v>77682</v>
      </c>
      <c r="AB79" s="42">
        <f>11254+32635</f>
        <v>43889</v>
      </c>
      <c r="AC79" s="14">
        <f>32635+2382</f>
        <v>35017</v>
      </c>
      <c r="AD79" s="14">
        <f>501794+167458</f>
        <v>669252</v>
      </c>
      <c r="AE79" s="106"/>
      <c r="AF79" s="14">
        <f>7929+51999</f>
        <v>59928</v>
      </c>
      <c r="AG79" s="14">
        <f>10311+78993</f>
        <v>89304</v>
      </c>
      <c r="AH79" s="14">
        <f>10311+48990</f>
        <v>59301</v>
      </c>
      <c r="AI79" s="14">
        <f>194157+148620</f>
        <v>342777</v>
      </c>
      <c r="AJ79" s="106"/>
      <c r="AK79" s="14">
        <f>33696+110635</f>
        <v>144331</v>
      </c>
      <c r="AL79" s="14">
        <f>19382+20048</f>
        <v>39430</v>
      </c>
      <c r="AM79" s="249">
        <f>10457</f>
        <v>10457</v>
      </c>
      <c r="AN79" s="14">
        <v>0</v>
      </c>
      <c r="AO79" s="14">
        <f>21148+45739</f>
        <v>66887</v>
      </c>
      <c r="AP79" s="106"/>
      <c r="AQ79" s="14">
        <v>18202</v>
      </c>
      <c r="AR79" s="14">
        <v>6245</v>
      </c>
      <c r="AS79" s="14">
        <v>6245</v>
      </c>
      <c r="AT79" s="14">
        <f>103171+25014</f>
        <v>128185</v>
      </c>
      <c r="AU79" s="106"/>
      <c r="AV79" s="14">
        <f>7655</f>
        <v>7655</v>
      </c>
      <c r="AW79" s="14">
        <v>7655</v>
      </c>
      <c r="AX79" s="14">
        <v>7655</v>
      </c>
      <c r="AY79" s="14">
        <f>454054+147801</f>
        <v>601855</v>
      </c>
      <c r="AZ79" s="106"/>
      <c r="BA79" s="14">
        <f>13312</f>
        <v>13312</v>
      </c>
      <c r="BB79" s="14">
        <v>13312</v>
      </c>
      <c r="BC79" s="14">
        <v>13312</v>
      </c>
      <c r="BD79" s="14">
        <f>13312</f>
        <v>13312</v>
      </c>
      <c r="BE79" s="14">
        <f>420514+41213</f>
        <v>461727</v>
      </c>
      <c r="BF79" s="106"/>
      <c r="BG79" s="14">
        <f>420514+13473</f>
        <v>433987</v>
      </c>
      <c r="BH79" s="14">
        <f>386981+498</f>
        <v>387479</v>
      </c>
      <c r="BI79" s="14">
        <v>42900</v>
      </c>
      <c r="BJ79" s="14">
        <f>137968+89782</f>
        <v>227750</v>
      </c>
      <c r="BK79" s="106"/>
      <c r="BL79" s="14">
        <f>70217+772</f>
        <v>70989</v>
      </c>
      <c r="BM79" s="14">
        <f>68426+1801</f>
        <v>70227</v>
      </c>
      <c r="BN79" s="14">
        <f>49986</f>
        <v>49986</v>
      </c>
      <c r="BO79" s="14">
        <v>49986</v>
      </c>
      <c r="BP79" s="14">
        <f>206573+63065</f>
        <v>269638</v>
      </c>
      <c r="BQ79" s="102"/>
      <c r="BR79" s="14">
        <f>46315+2665</f>
        <v>48980</v>
      </c>
      <c r="BS79" s="14">
        <f>6485+33602</f>
        <v>40087</v>
      </c>
      <c r="BT79" s="14">
        <f>31028+2665</f>
        <v>33693</v>
      </c>
      <c r="BU79" s="14">
        <f>155681+39805</f>
        <v>195486</v>
      </c>
      <c r="BV79" s="102"/>
      <c r="BW79" s="14">
        <f>67889+29520</f>
        <v>97409</v>
      </c>
      <c r="BX79" s="14">
        <f>31046</f>
        <v>31046</v>
      </c>
      <c r="BY79" s="14">
        <f>20841</f>
        <v>20841</v>
      </c>
      <c r="BZ79" s="14">
        <f>199495+57929</f>
        <v>257424</v>
      </c>
      <c r="CA79" s="102"/>
      <c r="CB79" s="14">
        <f>168487+24570</f>
        <v>193057</v>
      </c>
      <c r="CC79" s="14">
        <f>5679+36916</f>
        <v>42595</v>
      </c>
      <c r="CD79" s="42">
        <f>5679+36144</f>
        <v>41823</v>
      </c>
      <c r="CE79" s="42">
        <f>19106</f>
        <v>19106</v>
      </c>
      <c r="CF79" s="102"/>
      <c r="CG79" s="42">
        <f>199406+45469</f>
        <v>244875</v>
      </c>
      <c r="CH79" s="42">
        <f>2434+31712</f>
        <v>34146</v>
      </c>
      <c r="CI79" s="42">
        <f>17889+2434</f>
        <v>20323</v>
      </c>
      <c r="CJ79" s="42">
        <f>17889+2434</f>
        <v>20323</v>
      </c>
      <c r="CK79" s="42">
        <f>230970+52452</f>
        <v>283422</v>
      </c>
      <c r="CL79" s="102"/>
    </row>
    <row r="80" spans="1:90" s="9" customFormat="1">
      <c r="A80" s="282"/>
      <c r="C80" s="34"/>
      <c r="D80" s="9" t="s">
        <v>114</v>
      </c>
      <c r="E80" s="136"/>
      <c r="F80" s="137"/>
      <c r="G80" s="137"/>
      <c r="H80" s="137"/>
      <c r="I80" s="137"/>
      <c r="J80" s="138"/>
      <c r="K80" s="137">
        <f>SUM(K74:K79)</f>
        <v>1391951</v>
      </c>
      <c r="L80" s="137">
        <f>SUM(L74:L79)</f>
        <v>765051</v>
      </c>
      <c r="M80" s="137">
        <f>SUM(M74:M79)</f>
        <v>588960</v>
      </c>
      <c r="N80" s="137">
        <f>SUM(N74:N79)</f>
        <v>1861911</v>
      </c>
      <c r="O80" s="139"/>
      <c r="P80" s="140">
        <f>SUM(P74:P79)</f>
        <v>757588</v>
      </c>
      <c r="Q80" s="140">
        <f>SUM(Q74:Q79)</f>
        <v>299614</v>
      </c>
      <c r="R80" s="140">
        <f>SUM(R74:R79)</f>
        <v>507007</v>
      </c>
      <c r="S80" s="140">
        <f>SUM(S74:S79)</f>
        <v>2085363</v>
      </c>
      <c r="T80" s="139"/>
      <c r="U80" s="140">
        <f>SUM(U74:U79)</f>
        <v>1017709</v>
      </c>
      <c r="V80" s="140">
        <f>SUM(V74:V79)</f>
        <v>407782</v>
      </c>
      <c r="W80" s="140">
        <f>SUM(W74:W79)</f>
        <v>562392</v>
      </c>
      <c r="X80" s="140">
        <f>SUM(X74:X79)</f>
        <v>617903</v>
      </c>
      <c r="Y80" s="140">
        <f>SUM(Y74:Y79)</f>
        <v>1443463</v>
      </c>
      <c r="Z80" s="141"/>
      <c r="AA80" s="137">
        <f>SUM(AA74:AA79)</f>
        <v>973813</v>
      </c>
      <c r="AB80" s="137">
        <f>SUM(AB74:AB79)</f>
        <v>702490</v>
      </c>
      <c r="AC80" s="137">
        <f>SUM(AC74:AC79)</f>
        <v>661070</v>
      </c>
      <c r="AD80" s="137">
        <f>SUM(AD74:AD79)</f>
        <v>2244359</v>
      </c>
      <c r="AE80" s="112"/>
      <c r="AF80" s="137">
        <f>SUM(AF74:AF79)</f>
        <v>597729</v>
      </c>
      <c r="AG80" s="137">
        <f>SUM(AG74:AG79)</f>
        <v>936795</v>
      </c>
      <c r="AH80" s="137">
        <f>SUM(AH74:AH79)</f>
        <v>933478</v>
      </c>
      <c r="AI80" s="137">
        <f>SUM(AI74:AI79)</f>
        <v>2277906</v>
      </c>
      <c r="AJ80" s="112"/>
      <c r="AK80" s="137">
        <f>SUM(AK74:AK79)</f>
        <v>1255171</v>
      </c>
      <c r="AL80" s="137">
        <f>SUM(AL74:AL79)</f>
        <v>1144271</v>
      </c>
      <c r="AM80" s="250">
        <f>SUM(AM74:AM79)</f>
        <v>851123</v>
      </c>
      <c r="AN80" s="250">
        <f>SUM(AN74:AN79)</f>
        <v>671990</v>
      </c>
      <c r="AO80" s="250">
        <f>SUM(AO74:AO79)</f>
        <v>1215491</v>
      </c>
      <c r="AP80" s="112"/>
      <c r="AQ80" s="250">
        <f>SUM(AQ74:AQ79)</f>
        <v>699409</v>
      </c>
      <c r="AR80" s="250">
        <f t="shared" ref="AR80:AT80" si="168">SUM(AR74:AR79)</f>
        <v>573638</v>
      </c>
      <c r="AS80" s="250">
        <f t="shared" si="168"/>
        <v>561850</v>
      </c>
      <c r="AT80" s="250">
        <f t="shared" si="168"/>
        <v>1370339</v>
      </c>
      <c r="AU80" s="112"/>
      <c r="AV80" s="250">
        <f>SUM(AV74:AV79)</f>
        <v>970871</v>
      </c>
      <c r="AW80" s="250">
        <f>SUM(AW74:AW79)</f>
        <v>899226</v>
      </c>
      <c r="AX80" s="250">
        <f>SUM(AX74:AX79)</f>
        <v>519426</v>
      </c>
      <c r="AY80" s="250">
        <f>SUM(AY74:AY79)</f>
        <v>2301306</v>
      </c>
      <c r="AZ80" s="112"/>
      <c r="BA80" s="250">
        <f>SUM(BA74:BA79)</f>
        <v>530401</v>
      </c>
      <c r="BB80" s="250">
        <f>SUM(BB74:BB79)</f>
        <v>453410</v>
      </c>
      <c r="BC80" s="250">
        <f>SUM(BC74:BC79)</f>
        <v>405110</v>
      </c>
      <c r="BD80" s="250">
        <f>SUM(BD74:BD79)</f>
        <v>410993</v>
      </c>
      <c r="BE80" s="250">
        <f>SUM(BE74:BE79)</f>
        <v>1375140</v>
      </c>
      <c r="BF80" s="112"/>
      <c r="BG80" s="250">
        <f>SUM(BG74:BG79)</f>
        <v>1021925</v>
      </c>
      <c r="BH80" s="250">
        <f>SUM(BH74:BH79)</f>
        <v>786735</v>
      </c>
      <c r="BI80" s="250">
        <f>SUM(BI74:BI79)</f>
        <v>502906</v>
      </c>
      <c r="BJ80" s="250">
        <f>SUM(BJ74:BJ79)</f>
        <v>1372925</v>
      </c>
      <c r="BK80" s="112"/>
      <c r="BL80" s="250">
        <f>SUM(BL74:BL79)</f>
        <v>698193</v>
      </c>
      <c r="BM80" s="250">
        <f>SUM(BM74:BM79)</f>
        <v>622617</v>
      </c>
      <c r="BN80" s="250">
        <f>SUM(BN74:BN79)</f>
        <v>621038</v>
      </c>
      <c r="BO80" s="250">
        <f>SUM(BO74:BO79)</f>
        <v>719534</v>
      </c>
      <c r="BP80" s="250">
        <f>SUM(BP74:BP79)</f>
        <v>1487054</v>
      </c>
      <c r="BQ80" s="139"/>
      <c r="BR80" s="250">
        <f>SUM(BR74:BR79)</f>
        <v>1111569</v>
      </c>
      <c r="BS80" s="250">
        <f>SUM(BS74:BS79)</f>
        <v>566054</v>
      </c>
      <c r="BT80" s="250">
        <f>SUM(BT74:BT79)</f>
        <v>499843</v>
      </c>
      <c r="BU80" s="250">
        <f>SUM(BU74:BU79)</f>
        <v>1243102</v>
      </c>
      <c r="BV80" s="139"/>
      <c r="BW80" s="250">
        <f>SUM(BW74:BW79)</f>
        <v>1057506</v>
      </c>
      <c r="BX80" s="250">
        <f>SUM(BX74:BX79)</f>
        <v>544484</v>
      </c>
      <c r="BY80" s="250">
        <f>SUM(BY74:BY79)</f>
        <v>436744</v>
      </c>
      <c r="BZ80" s="250">
        <f>SUM(BZ74:BZ79)</f>
        <v>1263649</v>
      </c>
      <c r="CA80" s="139"/>
      <c r="CB80" s="250">
        <f>SUM(CB74:CB79)</f>
        <v>1108990</v>
      </c>
      <c r="CC80" s="250">
        <f>SUM(CC74:CC79)</f>
        <v>540526</v>
      </c>
      <c r="CD80" s="137">
        <f>SUM(CD74:CD79)</f>
        <v>529972</v>
      </c>
      <c r="CE80" s="137">
        <f>SUM(CE74:CE79)</f>
        <v>538615</v>
      </c>
      <c r="CF80" s="139"/>
      <c r="CG80" s="137">
        <f>SUM(CG74:CG79)</f>
        <v>1347716</v>
      </c>
      <c r="CH80" s="137">
        <f>SUM(CH74:CH79)</f>
        <v>947042</v>
      </c>
      <c r="CI80" s="137">
        <f>SUM(CI74:CI79)</f>
        <v>901517</v>
      </c>
      <c r="CJ80" s="137">
        <f>SUM(CJ74:CJ79)</f>
        <v>478221</v>
      </c>
      <c r="CK80" s="137">
        <f>SUM(CK74:CK79)</f>
        <v>1607342</v>
      </c>
      <c r="CL80" s="139"/>
    </row>
    <row r="81" spans="1:90" s="11" customFormat="1">
      <c r="A81" s="281" t="s">
        <v>115</v>
      </c>
      <c r="C81" s="130"/>
      <c r="E81" s="81"/>
      <c r="F81" s="131"/>
      <c r="G81" s="131"/>
      <c r="H81" s="131"/>
      <c r="I81" s="131"/>
      <c r="J81" s="132"/>
      <c r="K81" s="131"/>
      <c r="L81" s="131"/>
      <c r="M81" s="131"/>
      <c r="N81" s="131"/>
      <c r="O81" s="133"/>
      <c r="P81" s="134"/>
      <c r="Q81" s="134"/>
      <c r="R81" s="134"/>
      <c r="S81" s="134"/>
      <c r="T81" s="133"/>
      <c r="U81" s="134"/>
      <c r="V81" s="134"/>
      <c r="W81" s="134"/>
      <c r="X81" s="134"/>
      <c r="Y81" s="134"/>
      <c r="Z81" s="135"/>
      <c r="AA81" s="131"/>
      <c r="AB81" s="41"/>
      <c r="AE81" s="101"/>
      <c r="AJ81" s="101"/>
      <c r="AP81" s="101"/>
      <c r="AU81" s="101"/>
      <c r="AZ81" s="101"/>
      <c r="BF81" s="101"/>
      <c r="BK81" s="101"/>
      <c r="BQ81" s="133"/>
      <c r="BV81" s="133"/>
      <c r="CA81" s="133"/>
      <c r="CD81" s="41"/>
      <c r="CE81" s="41"/>
      <c r="CF81" s="133"/>
      <c r="CG81" s="41"/>
      <c r="CH81" s="41"/>
      <c r="CI81" s="41"/>
      <c r="CJ81" s="41"/>
      <c r="CK81" s="41"/>
      <c r="CL81" s="133"/>
    </row>
    <row r="82" spans="1:90">
      <c r="A82" s="361" t="s">
        <v>116</v>
      </c>
      <c r="B82" t="s">
        <v>117</v>
      </c>
      <c r="D82" t="s">
        <v>118</v>
      </c>
      <c r="E82" s="265"/>
      <c r="F82" s="256"/>
      <c r="G82" s="256"/>
      <c r="H82" s="256"/>
      <c r="I82" s="256"/>
      <c r="J82" s="266"/>
      <c r="K82" s="42"/>
      <c r="L82" s="42"/>
      <c r="M82" s="42"/>
      <c r="N82" s="42"/>
      <c r="O82" s="253"/>
      <c r="P82" s="14"/>
      <c r="Q82">
        <v>51.22</v>
      </c>
      <c r="R82" s="14"/>
      <c r="S82">
        <v>51.5</v>
      </c>
      <c r="T82" s="253"/>
      <c r="U82">
        <v>52.26</v>
      </c>
      <c r="V82" s="14"/>
      <c r="W82">
        <v>49.01</v>
      </c>
      <c r="X82" s="14"/>
      <c r="Y82">
        <v>48.8</v>
      </c>
      <c r="Z82" s="255"/>
      <c r="AA82" s="256"/>
      <c r="AB82" s="257">
        <v>46.88</v>
      </c>
      <c r="AC82" s="258"/>
      <c r="AD82" s="258">
        <v>46.41</v>
      </c>
      <c r="AE82" s="259"/>
      <c r="AG82">
        <v>47.75</v>
      </c>
      <c r="AI82">
        <v>49.88</v>
      </c>
      <c r="AJ82" s="259"/>
      <c r="AL82">
        <v>48.82</v>
      </c>
      <c r="AN82">
        <v>48.93</v>
      </c>
      <c r="AP82" s="259"/>
      <c r="AQ82">
        <v>50.2</v>
      </c>
      <c r="AS82">
        <v>49.22</v>
      </c>
      <c r="AU82" s="259"/>
      <c r="AV82">
        <v>50.6</v>
      </c>
      <c r="AX82">
        <v>51.96</v>
      </c>
      <c r="AZ82" s="259"/>
      <c r="BA82">
        <v>53.75</v>
      </c>
      <c r="BC82">
        <v>54.32</v>
      </c>
      <c r="BE82">
        <v>52.93</v>
      </c>
      <c r="BF82" s="259"/>
      <c r="BH82">
        <v>54.41</v>
      </c>
      <c r="BJ82">
        <v>55.84</v>
      </c>
      <c r="BK82" s="259"/>
      <c r="BM82">
        <v>54.5</v>
      </c>
      <c r="BO82">
        <v>54.77</v>
      </c>
      <c r="BQ82" s="253"/>
      <c r="BR82">
        <v>53.65</v>
      </c>
      <c r="BT82">
        <v>53.59</v>
      </c>
      <c r="BV82" s="253"/>
      <c r="BW82">
        <v>54.3</v>
      </c>
      <c r="BY82">
        <v>51.79</v>
      </c>
      <c r="CA82" s="253"/>
      <c r="CB82">
        <v>50.35</v>
      </c>
      <c r="CD82" s="203">
        <v>50.65</v>
      </c>
      <c r="CE82" s="203"/>
      <c r="CF82" s="253"/>
      <c r="CG82" s="203">
        <v>51.32</v>
      </c>
      <c r="CH82" s="203"/>
      <c r="CI82" s="203">
        <v>53.41</v>
      </c>
      <c r="CJ82" s="203"/>
      <c r="CK82" s="203"/>
      <c r="CL82" s="253"/>
    </row>
    <row r="83" spans="1:90">
      <c r="A83" s="361"/>
      <c r="B83" t="s">
        <v>117</v>
      </c>
      <c r="D83" t="s">
        <v>67</v>
      </c>
      <c r="E83" s="265"/>
      <c r="F83" s="256"/>
      <c r="G83" s="256"/>
      <c r="H83" s="256"/>
      <c r="I83" s="256"/>
      <c r="J83" s="266"/>
      <c r="K83" s="42"/>
      <c r="L83" s="42"/>
      <c r="M83" s="42"/>
      <c r="N83" s="42"/>
      <c r="O83" s="253"/>
      <c r="P83" s="14"/>
      <c r="Q83">
        <v>8.68</v>
      </c>
      <c r="R83" s="14"/>
      <c r="S83">
        <v>9.34</v>
      </c>
      <c r="T83" s="253"/>
      <c r="U83">
        <v>9.4700000000000006</v>
      </c>
      <c r="V83" s="14"/>
      <c r="W83">
        <v>9.32</v>
      </c>
      <c r="X83" s="14"/>
      <c r="Y83">
        <v>8.94</v>
      </c>
      <c r="Z83" s="255"/>
      <c r="AA83" s="256"/>
      <c r="AB83" s="257">
        <v>8.7799999999999994</v>
      </c>
      <c r="AC83" s="258"/>
      <c r="AD83" s="258">
        <v>8.58</v>
      </c>
      <c r="AE83" s="259"/>
      <c r="AG83">
        <v>8.32</v>
      </c>
      <c r="AI83">
        <v>8.07</v>
      </c>
      <c r="AJ83" s="259"/>
      <c r="AL83">
        <v>8.2100000000000009</v>
      </c>
      <c r="AN83">
        <v>8.14</v>
      </c>
      <c r="AP83" s="259"/>
      <c r="AQ83">
        <v>7.99</v>
      </c>
      <c r="AS83">
        <v>7.99</v>
      </c>
      <c r="AU83" s="259"/>
      <c r="AV83">
        <v>8.08</v>
      </c>
      <c r="AX83">
        <v>8.11</v>
      </c>
      <c r="AZ83" s="259"/>
      <c r="BA83">
        <v>8.51</v>
      </c>
      <c r="BC83">
        <v>7.56</v>
      </c>
      <c r="BE83">
        <v>8.15</v>
      </c>
      <c r="BF83" s="259"/>
      <c r="BH83">
        <v>9.52</v>
      </c>
      <c r="BJ83">
        <v>9.51</v>
      </c>
      <c r="BK83" s="259"/>
      <c r="BM83">
        <v>9.8000000000000007</v>
      </c>
      <c r="BQ83" s="253"/>
      <c r="BV83" s="253"/>
      <c r="CA83" s="253"/>
      <c r="CD83" s="203"/>
      <c r="CE83" s="203"/>
      <c r="CF83" s="253"/>
      <c r="CG83" s="203"/>
      <c r="CH83" s="203"/>
      <c r="CI83" s="203"/>
      <c r="CJ83" s="203"/>
      <c r="CK83" s="203"/>
      <c r="CL83" s="253"/>
    </row>
    <row r="84" spans="1:90">
      <c r="B84" t="s">
        <v>117</v>
      </c>
      <c r="D84" t="s">
        <v>68</v>
      </c>
      <c r="E84" s="265"/>
      <c r="F84" s="256"/>
      <c r="G84" s="256"/>
      <c r="H84" s="256"/>
      <c r="I84" s="256"/>
      <c r="J84" s="266"/>
      <c r="K84" s="42"/>
      <c r="L84" s="42"/>
      <c r="M84" s="42"/>
      <c r="N84" s="42"/>
      <c r="O84" s="253"/>
      <c r="P84" s="14"/>
      <c r="Q84">
        <v>8</v>
      </c>
      <c r="R84" s="14"/>
      <c r="S84">
        <v>8.58</v>
      </c>
      <c r="T84" s="253"/>
      <c r="U84">
        <v>9.5500000000000007</v>
      </c>
      <c r="V84" s="14"/>
      <c r="W84">
        <v>10.31</v>
      </c>
      <c r="X84" s="14"/>
      <c r="Y84">
        <v>10.36</v>
      </c>
      <c r="Z84" s="255"/>
      <c r="AA84" s="256"/>
      <c r="AB84" s="257">
        <v>9.4</v>
      </c>
      <c r="AC84" s="258"/>
      <c r="AD84" s="258">
        <v>9.9</v>
      </c>
      <c r="AE84" s="259"/>
      <c r="AG84">
        <v>10.210000000000001</v>
      </c>
      <c r="AI84">
        <v>11.6</v>
      </c>
      <c r="AJ84" s="259"/>
      <c r="AL84">
        <v>10.88</v>
      </c>
      <c r="AN84">
        <v>10.74</v>
      </c>
      <c r="AP84" s="259"/>
      <c r="AQ84">
        <v>11.78</v>
      </c>
      <c r="AS84">
        <v>12.44</v>
      </c>
      <c r="AU84" s="259"/>
      <c r="AV84">
        <v>13.12</v>
      </c>
      <c r="AX84">
        <v>13.28</v>
      </c>
      <c r="AZ84" s="259"/>
      <c r="BA84">
        <v>13.97</v>
      </c>
      <c r="BC84">
        <v>13.25</v>
      </c>
      <c r="BE84">
        <v>13.22</v>
      </c>
      <c r="BF84" s="259"/>
      <c r="BH84">
        <v>12.38</v>
      </c>
      <c r="BJ84">
        <v>10.49</v>
      </c>
      <c r="BK84" s="259"/>
      <c r="BM84">
        <v>12.24</v>
      </c>
      <c r="BO84">
        <v>21.63</v>
      </c>
      <c r="BQ84" s="253"/>
      <c r="BR84">
        <v>19.62</v>
      </c>
      <c r="BT84">
        <v>21.1</v>
      </c>
      <c r="BV84" s="253"/>
      <c r="BW84">
        <v>21.2</v>
      </c>
      <c r="BY84">
        <v>21.56</v>
      </c>
      <c r="CA84" s="253"/>
      <c r="CB84">
        <v>21.68</v>
      </c>
      <c r="CD84" s="203">
        <v>21.29</v>
      </c>
      <c r="CE84" s="203"/>
      <c r="CF84" s="253"/>
      <c r="CG84" s="203">
        <v>21.37</v>
      </c>
      <c r="CH84" s="203"/>
      <c r="CI84" s="203">
        <v>20.93</v>
      </c>
      <c r="CJ84" s="203"/>
      <c r="CK84" s="203"/>
      <c r="CL84" s="253"/>
    </row>
    <row r="85" spans="1:90">
      <c r="B85" t="s">
        <v>117</v>
      </c>
      <c r="D85" t="s">
        <v>119</v>
      </c>
      <c r="E85" s="265"/>
      <c r="F85" s="256"/>
      <c r="G85" s="256"/>
      <c r="H85" s="256"/>
      <c r="I85" s="256"/>
      <c r="J85" s="266"/>
      <c r="K85" s="42"/>
      <c r="L85" s="42"/>
      <c r="M85" s="42"/>
      <c r="N85" s="42"/>
      <c r="O85" s="253"/>
      <c r="P85" s="14"/>
      <c r="Q85">
        <v>50.23</v>
      </c>
      <c r="R85" s="14"/>
      <c r="S85">
        <v>51.12</v>
      </c>
      <c r="T85" s="253"/>
      <c r="U85">
        <v>51.77</v>
      </c>
      <c r="V85" s="14"/>
      <c r="W85">
        <v>51.79</v>
      </c>
      <c r="X85" s="14"/>
      <c r="Y85">
        <v>53.28</v>
      </c>
      <c r="Z85" s="255"/>
      <c r="AA85" s="256"/>
      <c r="AB85" s="257">
        <v>52.07</v>
      </c>
      <c r="AC85" s="258"/>
      <c r="AD85" s="258">
        <v>52.45</v>
      </c>
      <c r="AE85" s="259"/>
      <c r="AG85">
        <v>55.6</v>
      </c>
      <c r="AI85">
        <v>56.32</v>
      </c>
      <c r="AJ85" s="259"/>
      <c r="AL85">
        <v>52.66</v>
      </c>
      <c r="AN85">
        <v>55.14</v>
      </c>
      <c r="AP85" s="259"/>
      <c r="AQ85">
        <v>57.85</v>
      </c>
      <c r="AS85">
        <v>57.69</v>
      </c>
      <c r="AU85" s="259"/>
      <c r="AV85">
        <v>56.48</v>
      </c>
      <c r="AX85">
        <v>55.86</v>
      </c>
      <c r="AZ85" s="259"/>
      <c r="BA85">
        <v>52.83</v>
      </c>
      <c r="BC85">
        <v>51.78</v>
      </c>
      <c r="BE85">
        <v>51.95</v>
      </c>
      <c r="BF85" s="259"/>
      <c r="BH85">
        <v>54.3</v>
      </c>
      <c r="BJ85">
        <v>53.73</v>
      </c>
      <c r="BK85" s="259"/>
      <c r="BM85">
        <v>53.35</v>
      </c>
      <c r="BO85">
        <v>55.98</v>
      </c>
      <c r="BQ85" s="253"/>
      <c r="BR85">
        <v>54.37</v>
      </c>
      <c r="BT85">
        <v>53.47</v>
      </c>
      <c r="BV85" s="253"/>
      <c r="BW85">
        <v>54.81</v>
      </c>
      <c r="BY85">
        <v>53.46</v>
      </c>
      <c r="CA85" s="253"/>
      <c r="CB85">
        <v>56.56</v>
      </c>
      <c r="CD85" s="203">
        <v>54.27</v>
      </c>
      <c r="CE85" s="203"/>
      <c r="CF85" s="253"/>
      <c r="CG85" s="203">
        <v>55.6</v>
      </c>
      <c r="CH85" s="203"/>
      <c r="CI85" s="203">
        <v>55.27</v>
      </c>
      <c r="CJ85" s="203"/>
      <c r="CK85" s="203"/>
      <c r="CL85" s="253"/>
    </row>
    <row r="86" spans="1:90" s="9" customFormat="1">
      <c r="A86" s="282"/>
      <c r="C86" s="34"/>
      <c r="D86" s="9" t="s">
        <v>120</v>
      </c>
      <c r="E86" s="267"/>
      <c r="F86" s="261"/>
      <c r="G86" s="261"/>
      <c r="H86" s="261"/>
      <c r="I86" s="261"/>
      <c r="J86" s="268"/>
      <c r="K86" s="137"/>
      <c r="L86" s="137"/>
      <c r="M86" s="137"/>
      <c r="N86" s="137"/>
      <c r="O86" s="254"/>
      <c r="P86" s="140"/>
      <c r="R86" s="140"/>
      <c r="T86" s="254"/>
      <c r="U86" s="9">
        <f t="shared" ref="U86:W86" si="169">SUM(U82:U85)</f>
        <v>123.05000000000001</v>
      </c>
      <c r="W86" s="9">
        <f t="shared" si="169"/>
        <v>120.43</v>
      </c>
      <c r="Y86" s="9">
        <f>SUM(Y82:Y85)</f>
        <v>121.38</v>
      </c>
      <c r="Z86" s="260"/>
      <c r="AA86" s="261"/>
      <c r="AB86" s="262">
        <f>SUM(AB82:AB85)</f>
        <v>117.13</v>
      </c>
      <c r="AC86" s="263"/>
      <c r="AD86" s="262">
        <f>SUM(AD82:AD85)</f>
        <v>117.34</v>
      </c>
      <c r="AE86" s="264"/>
      <c r="AG86" s="204">
        <f>SUM(AG82:AG85)</f>
        <v>121.88</v>
      </c>
      <c r="AI86" s="204">
        <f>SUM(AI82:AI85)</f>
        <v>125.87</v>
      </c>
      <c r="AJ86" s="264"/>
      <c r="AL86" s="204">
        <f>SUM(AL82:AL85)</f>
        <v>120.57</v>
      </c>
      <c r="AN86" s="204">
        <f>SUM(AN82:AN85)</f>
        <v>122.95</v>
      </c>
      <c r="AP86" s="264"/>
      <c r="AQ86" s="204">
        <f>SUM(AQ82:AQ85)</f>
        <v>127.82</v>
      </c>
      <c r="AS86" s="204">
        <f>SUM(AS82:AS85)</f>
        <v>127.34</v>
      </c>
      <c r="AU86" s="264"/>
      <c r="AV86" s="204">
        <f>SUM(AV82:AV85)</f>
        <v>128.28</v>
      </c>
      <c r="AX86" s="204">
        <f>SUM(AX82:AX85)</f>
        <v>129.20999999999998</v>
      </c>
      <c r="AZ86" s="264"/>
      <c r="BA86" s="204">
        <f>SUM(BA82:BA85)</f>
        <v>129.06</v>
      </c>
      <c r="BB86" s="204"/>
      <c r="BC86" s="204">
        <f>SUM(BC82:BC85)</f>
        <v>126.91</v>
      </c>
      <c r="BD86" s="204"/>
      <c r="BE86" s="204">
        <f>SUM(BE82:BE85)</f>
        <v>126.25</v>
      </c>
      <c r="BF86" s="264"/>
      <c r="BG86" s="204"/>
      <c r="BH86" s="204">
        <f>SUM(BH82:BH85)</f>
        <v>130.60999999999999</v>
      </c>
      <c r="BI86" s="204"/>
      <c r="BJ86" s="204">
        <f>SUM(BJ82:BJ85)</f>
        <v>129.57</v>
      </c>
      <c r="BK86" s="264"/>
      <c r="BL86" s="204"/>
      <c r="BM86" s="204">
        <f>SUM(BM82:BM85)</f>
        <v>129.88999999999999</v>
      </c>
      <c r="BN86" s="204"/>
      <c r="BO86" s="204">
        <f>SUM(BO82:BO85)</f>
        <v>132.38</v>
      </c>
      <c r="BQ86" s="254"/>
      <c r="BR86" s="204">
        <f>SUM(BR82:BR85)</f>
        <v>127.63999999999999</v>
      </c>
      <c r="BS86" s="204"/>
      <c r="BT86" s="204">
        <f>SUM(BT82:BT85)</f>
        <v>128.16</v>
      </c>
      <c r="BU86" s="204"/>
      <c r="BV86" s="254"/>
      <c r="BW86" s="204">
        <f>SUM(BW82:BW85)</f>
        <v>130.31</v>
      </c>
      <c r="BX86" s="204"/>
      <c r="BY86" s="204">
        <f>SUM(BY82:BY85)</f>
        <v>126.81</v>
      </c>
      <c r="BZ86" s="204"/>
      <c r="CA86" s="254"/>
      <c r="CB86" s="204">
        <f>SUM(CB82:CB85)</f>
        <v>128.59</v>
      </c>
      <c r="CC86" s="204"/>
      <c r="CD86" s="204">
        <f>SUM(CD82:CD85)</f>
        <v>126.21000000000001</v>
      </c>
      <c r="CE86" s="204"/>
      <c r="CF86" s="254"/>
      <c r="CG86" s="204">
        <f>SUM(CG82:CG85)</f>
        <v>128.29</v>
      </c>
      <c r="CH86" s="204"/>
      <c r="CI86" s="204">
        <f>SUM(CI82:CI85)</f>
        <v>129.61000000000001</v>
      </c>
      <c r="CJ86" s="204"/>
      <c r="CK86" s="204"/>
      <c r="CL86" s="254"/>
    </row>
    <row r="87" spans="1:90" s="10" customFormat="1" hidden="1">
      <c r="A87" s="281" t="s">
        <v>121</v>
      </c>
      <c r="B87" s="11"/>
      <c r="C87" s="36"/>
      <c r="E87" s="196"/>
      <c r="F87" s="197"/>
      <c r="G87" s="197"/>
      <c r="H87" s="197"/>
      <c r="I87" s="197"/>
      <c r="J87" s="198"/>
      <c r="K87" s="197"/>
      <c r="L87" s="197"/>
      <c r="M87" s="197"/>
      <c r="N87" s="197"/>
      <c r="O87" s="199"/>
      <c r="P87" s="200"/>
      <c r="R87" s="200"/>
      <c r="T87" s="199"/>
      <c r="Z87" s="201"/>
      <c r="AA87" s="197"/>
      <c r="AB87" s="202"/>
      <c r="AE87" s="210"/>
      <c r="AJ87" s="210"/>
      <c r="AP87" s="210"/>
      <c r="AU87" s="210"/>
      <c r="AZ87" s="210"/>
      <c r="BF87" s="210"/>
      <c r="BK87" s="210"/>
      <c r="BQ87" s="199"/>
      <c r="BV87" s="199"/>
      <c r="CA87" s="199"/>
      <c r="CD87" s="202"/>
      <c r="CE87" s="202"/>
      <c r="CF87" s="199"/>
      <c r="CG87" s="202"/>
      <c r="CH87" s="202"/>
      <c r="CI87" s="202"/>
      <c r="CJ87" s="202"/>
      <c r="CK87" s="202"/>
      <c r="CL87" s="199"/>
    </row>
    <row r="88" spans="1:90" s="9" customFormat="1" hidden="1">
      <c r="A88" s="282"/>
      <c r="B88" s="64" t="s">
        <v>122</v>
      </c>
      <c r="C88" s="34"/>
      <c r="D88" t="s">
        <v>123</v>
      </c>
      <c r="E88" s="190"/>
      <c r="F88" s="137"/>
      <c r="G88" s="137"/>
      <c r="H88" s="137"/>
      <c r="I88" s="137"/>
      <c r="J88" s="138"/>
      <c r="K88" s="137"/>
      <c r="L88" s="137"/>
      <c r="M88" s="137"/>
      <c r="N88" s="137"/>
      <c r="O88" s="139"/>
      <c r="P88" s="140"/>
      <c r="R88" s="140"/>
      <c r="T88" s="139"/>
      <c r="Z88" s="141"/>
      <c r="AA88" s="40">
        <v>154</v>
      </c>
      <c r="AB88" s="43"/>
      <c r="AE88" s="112"/>
      <c r="AJ88" s="112"/>
      <c r="AP88" s="112"/>
      <c r="AU88" s="112"/>
      <c r="AZ88" s="112"/>
      <c r="BF88" s="112"/>
      <c r="BK88" s="112"/>
      <c r="BQ88" s="139"/>
      <c r="BV88" s="139"/>
      <c r="CA88" s="139"/>
      <c r="CD88" s="43"/>
      <c r="CE88" s="43"/>
      <c r="CF88" s="139"/>
      <c r="CG88" s="43"/>
      <c r="CH88" s="43"/>
      <c r="CI88" s="43"/>
      <c r="CJ88" s="43"/>
      <c r="CK88" s="43"/>
      <c r="CL88" s="139"/>
    </row>
    <row r="89" spans="1:90" s="11" customFormat="1" ht="43.5">
      <c r="A89" s="284" t="s">
        <v>124</v>
      </c>
      <c r="B89" s="50"/>
      <c r="C89" s="33" t="s">
        <v>2</v>
      </c>
      <c r="E89" s="81"/>
      <c r="F89" s="41"/>
      <c r="G89" s="41"/>
      <c r="H89" s="41"/>
      <c r="I89" s="41"/>
      <c r="J89" s="68"/>
      <c r="K89" s="41"/>
      <c r="L89" s="41"/>
      <c r="M89" s="41"/>
      <c r="N89" s="41"/>
      <c r="O89" s="101"/>
      <c r="T89" s="101"/>
      <c r="Z89" s="110"/>
      <c r="AA89" s="41"/>
      <c r="AB89" s="41"/>
      <c r="AE89" s="101"/>
      <c r="AJ89" s="101"/>
      <c r="AP89" s="101"/>
      <c r="AU89" s="101"/>
      <c r="AZ89" s="101"/>
      <c r="BF89" s="101"/>
      <c r="BK89" s="101"/>
      <c r="BQ89" s="101"/>
      <c r="BV89" s="101"/>
      <c r="CA89" s="101"/>
      <c r="CD89" s="41"/>
      <c r="CE89" s="41"/>
      <c r="CF89" s="101"/>
      <c r="CG89" s="41"/>
      <c r="CH89" s="41"/>
      <c r="CI89" s="41"/>
      <c r="CJ89" s="41"/>
      <c r="CK89" s="41"/>
      <c r="CL89" s="101"/>
    </row>
    <row r="90" spans="1:90">
      <c r="D90" t="s">
        <v>84</v>
      </c>
      <c r="E90" s="218"/>
      <c r="F90" s="219"/>
      <c r="G90" s="219"/>
      <c r="H90" s="219"/>
      <c r="I90" s="219"/>
      <c r="J90" s="220"/>
      <c r="O90" s="106"/>
      <c r="Q90" s="217"/>
      <c r="T90" s="106"/>
      <c r="Y90" s="29">
        <f>Y7/Y83</f>
        <v>13.646532438478747</v>
      </c>
      <c r="Z90" s="111"/>
      <c r="AE90" s="106"/>
      <c r="AG90" s="221">
        <f>AG9/(AG83+AG84)</f>
        <v>14.409066378845115</v>
      </c>
      <c r="AH90" s="221"/>
      <c r="AI90" s="221">
        <f>AI9/(AI83+AI84)</f>
        <v>13.675648195221148</v>
      </c>
      <c r="AJ90" s="106"/>
      <c r="AL90" s="221">
        <f>AL9/(AL83+AL84)</f>
        <v>14.614981665793607</v>
      </c>
      <c r="AM90" s="221"/>
      <c r="AN90" s="221">
        <f>AN9/(AN83+AN84)</f>
        <v>15.201271186440676</v>
      </c>
      <c r="AP90" s="106"/>
      <c r="AU90" s="106"/>
      <c r="AV90" s="125">
        <f>+AV9/(AV83+AV84)</f>
        <v>12.735849056603774</v>
      </c>
      <c r="AW90" s="125"/>
      <c r="AX90" s="125">
        <f>+AX9/(AX83+AX84)</f>
        <v>12.669471715755025</v>
      </c>
      <c r="AZ90" s="106"/>
      <c r="BA90" s="217">
        <f>+BA9/(BA83+BA84)</f>
        <v>11.699288256227758</v>
      </c>
      <c r="BB90" s="217"/>
      <c r="BC90" s="217">
        <f>+BC9/(BC83+BC84)</f>
        <v>12.397885631907737</v>
      </c>
      <c r="BE90" s="217">
        <f>+BE9/(BE83+BE84)</f>
        <v>12.540945250350958</v>
      </c>
      <c r="BF90" s="336">
        <f>AVERAGE(BA90:BE90)</f>
        <v>12.212706379495485</v>
      </c>
      <c r="BH90" s="217">
        <f>+BH9/(BH83+BH84)</f>
        <v>12.876712328767123</v>
      </c>
      <c r="BI90" s="217"/>
      <c r="BJ90" s="217">
        <f t="shared" ref="BJ90" si="170">+BJ9/(BJ83+BJ84)</f>
        <v>14.35</v>
      </c>
      <c r="BK90" s="336">
        <f>AVERAGE(BG90:BJ90)</f>
        <v>13.613356164383561</v>
      </c>
      <c r="BL90" s="217"/>
      <c r="BM90" s="217">
        <f t="shared" ref="BM90:BO90" si="171">+BM9/(BM83+BM84)</f>
        <v>12.658802177858441</v>
      </c>
      <c r="BN90" s="217"/>
      <c r="BO90" s="217">
        <f t="shared" si="171"/>
        <v>12.066574202496533</v>
      </c>
      <c r="BP90" s="217"/>
      <c r="BQ90" s="336">
        <f>AVERAGE(BL90:BP90)</f>
        <v>12.362688190177487</v>
      </c>
      <c r="BR90" s="217">
        <f t="shared" ref="BR90" si="172">+BR9/(BR83+BR84)</f>
        <v>12.079510703363914</v>
      </c>
      <c r="BT90" s="217">
        <f t="shared" ref="BT90" si="173">+BT9/(BT83+BT84)</f>
        <v>10.995260663507109</v>
      </c>
      <c r="BV90" s="336">
        <f>AVERAGE(BR90:BU90)</f>
        <v>11.537385683435511</v>
      </c>
      <c r="BW90" s="217">
        <f>+BW9/(BW83+BW84)</f>
        <v>11.60377358490566</v>
      </c>
      <c r="BY90" s="217">
        <f>+BY9/(BY83+BY84)</f>
        <v>11.781076066790353</v>
      </c>
      <c r="CA90" s="336">
        <f>AVERAGE(BW90:BZ90)</f>
        <v>11.692424825848008</v>
      </c>
      <c r="CB90" s="217">
        <f>+CB9/(CB83+CB84)</f>
        <v>11.761992619926199</v>
      </c>
      <c r="CD90" s="217">
        <f>+CD9/(CD83+CD84)</f>
        <v>12.02442461249413</v>
      </c>
      <c r="CF90" s="336">
        <f>AVERAGE(CB90:CE90)</f>
        <v>11.893208616210163</v>
      </c>
      <c r="CG90" s="217">
        <f>+CG9/(CG83+CG84)</f>
        <v>11.4646700982686</v>
      </c>
      <c r="CI90" s="217">
        <f>+CI9/(CI83+CI84)</f>
        <v>11.371237458193979</v>
      </c>
      <c r="CK90" s="217" t="e">
        <f>+CK9/(CK83+CK84)</f>
        <v>#DIV/0!</v>
      </c>
      <c r="CL90" s="336">
        <f>AVERAGE(CG90:CJ90)</f>
        <v>11.41795377823129</v>
      </c>
    </row>
    <row r="91" spans="1:90">
      <c r="D91" t="s">
        <v>119</v>
      </c>
      <c r="E91" s="218"/>
      <c r="F91" s="219"/>
      <c r="G91" s="219"/>
      <c r="H91" s="219"/>
      <c r="I91" s="219"/>
      <c r="J91" s="220"/>
      <c r="O91" s="106"/>
      <c r="Q91" s="217"/>
      <c r="T91" s="106"/>
      <c r="Y91" s="29">
        <f>Y15/Y85</f>
        <v>4.5045045045045047</v>
      </c>
      <c r="Z91" s="111"/>
      <c r="AE91" s="106"/>
      <c r="AG91" s="221">
        <f>AG15/AG85</f>
        <v>4.7482014388489207</v>
      </c>
      <c r="AH91" s="221"/>
      <c r="AI91" s="221">
        <f>AI15/AI85</f>
        <v>4.7407670454545459</v>
      </c>
      <c r="AJ91" s="106"/>
      <c r="AL91" s="221">
        <f>AL15/AL85</f>
        <v>4.9753133308013675</v>
      </c>
      <c r="AM91" s="221"/>
      <c r="AN91" s="221">
        <f>AN15/AN85</f>
        <v>4.9691693870148708</v>
      </c>
      <c r="AP91" s="106"/>
      <c r="AU91" s="106"/>
      <c r="AV91" s="125">
        <f>+AV15/AV85</f>
        <v>4.9575070821529748</v>
      </c>
      <c r="AW91" s="125"/>
      <c r="AX91" s="125">
        <f>+AX15/AX85</f>
        <v>5.0662370211242393</v>
      </c>
      <c r="AZ91" s="106"/>
      <c r="BA91" s="217">
        <f>+BA15/BA85</f>
        <v>5.0539466212379329</v>
      </c>
      <c r="BB91" s="217"/>
      <c r="BC91" s="217">
        <f>+BC15/BC85</f>
        <v>5.3495558130552334</v>
      </c>
      <c r="BE91" s="217">
        <f>+BE15/BE85</f>
        <v>5.3512993262752646</v>
      </c>
      <c r="BF91" s="336">
        <f>AVERAGE(BA91:BE91)</f>
        <v>5.2516005868561431</v>
      </c>
      <c r="BH91" s="217">
        <f>+BH15/BH85</f>
        <v>5.0092081031307556</v>
      </c>
      <c r="BI91" s="217"/>
      <c r="BJ91" s="217">
        <f t="shared" ref="BJ91" si="174">+BJ15/BJ85</f>
        <v>5.0065140517401829</v>
      </c>
      <c r="BK91" s="336">
        <f>AVERAGE(BG91:BJ91)</f>
        <v>5.0078610774354697</v>
      </c>
      <c r="BL91" s="217"/>
      <c r="BM91" s="217">
        <f t="shared" ref="BM91:BO91" si="175">+BM15/BM85</f>
        <v>5.1171508903467666</v>
      </c>
      <c r="BN91" s="217"/>
      <c r="BO91" s="217">
        <f t="shared" si="175"/>
        <v>5.0196498749553413</v>
      </c>
      <c r="BP91" s="217"/>
      <c r="BQ91" s="336">
        <f>AVERAGE(BL91:BP91)</f>
        <v>5.0684003826510544</v>
      </c>
      <c r="BR91" s="217">
        <f t="shared" ref="BR91" si="176">+BR15/BR85</f>
        <v>5.1498988412727611</v>
      </c>
      <c r="BT91" s="217">
        <f t="shared" ref="BT91" si="177">+BT15/BT85</f>
        <v>5.199177108659061</v>
      </c>
      <c r="BV91" s="336">
        <f>AVERAGE(BR91:BU91)</f>
        <v>5.1745379749659115</v>
      </c>
      <c r="BW91" s="217">
        <f t="shared" ref="BW91:BY91" si="178">+BW15/BW85</f>
        <v>5.0538222952016056</v>
      </c>
      <c r="BY91" s="217">
        <f t="shared" si="178"/>
        <v>5.2375607931163488</v>
      </c>
      <c r="CA91" s="336">
        <f>AVERAGE(BW91:BZ91)</f>
        <v>5.1456915441589768</v>
      </c>
      <c r="CB91" s="217">
        <f t="shared" ref="CB91" si="179">+CB15/CB85</f>
        <v>5.0565770862800568</v>
      </c>
      <c r="CD91" s="217">
        <f t="shared" ref="CD91" si="180">+CD15/CD85</f>
        <v>5.140961857379768</v>
      </c>
      <c r="CF91" s="336">
        <f>AVERAGE(CB91:CE91)</f>
        <v>5.0987694718299128</v>
      </c>
      <c r="CG91" s="217">
        <f t="shared" ref="CG91:CI91" si="181">+CG15/CG85</f>
        <v>5.071942446043165</v>
      </c>
      <c r="CI91" s="217">
        <f t="shared" si="181"/>
        <v>4.9936674506965799</v>
      </c>
      <c r="CK91" s="217" t="e">
        <f t="shared" ref="CK91" si="182">+CK15/CK85</f>
        <v>#DIV/0!</v>
      </c>
      <c r="CL91" s="336">
        <f>AVERAGE(CG91:CJ91)</f>
        <v>5.032804948369872</v>
      </c>
    </row>
    <row r="92" spans="1:90">
      <c r="A92" s="281" t="s">
        <v>125</v>
      </c>
      <c r="B92" s="10"/>
      <c r="C92" s="33" t="s">
        <v>2</v>
      </c>
      <c r="D92" s="11"/>
      <c r="E92" s="81"/>
      <c r="F92" s="41"/>
      <c r="G92" s="41"/>
      <c r="H92" s="41"/>
      <c r="I92" s="41"/>
      <c r="J92" s="68"/>
      <c r="K92" s="41"/>
      <c r="L92" s="41"/>
      <c r="M92" s="41"/>
      <c r="N92" s="41"/>
      <c r="O92" s="101"/>
      <c r="P92" s="11"/>
      <c r="Q92" s="11"/>
      <c r="R92" s="11"/>
      <c r="S92" s="11"/>
      <c r="T92" s="101"/>
      <c r="U92" s="11"/>
      <c r="V92" s="11"/>
      <c r="W92" s="11"/>
      <c r="X92" s="11"/>
      <c r="Y92" s="11"/>
      <c r="Z92" s="110"/>
      <c r="AA92" s="41"/>
      <c r="AB92" s="41"/>
      <c r="AC92" s="11"/>
      <c r="AD92" s="11"/>
      <c r="AE92" s="101"/>
      <c r="AF92" s="11"/>
      <c r="AG92" s="11"/>
      <c r="AH92" s="11"/>
      <c r="AI92" s="11"/>
      <c r="AJ92" s="101"/>
      <c r="AK92" s="11"/>
      <c r="AL92" s="11"/>
      <c r="AM92" s="11"/>
      <c r="AN92" s="11"/>
      <c r="AO92" s="11"/>
      <c r="AP92" s="101"/>
      <c r="AQ92" s="11"/>
      <c r="AR92" s="11"/>
      <c r="AS92" s="11"/>
      <c r="AT92" s="11"/>
      <c r="AU92" s="101"/>
      <c r="AV92" s="11"/>
      <c r="AW92" s="11"/>
      <c r="AX92" s="11"/>
      <c r="AY92" s="11"/>
      <c r="AZ92" s="101"/>
      <c r="BA92" s="11"/>
      <c r="BB92" s="11"/>
      <c r="BC92" s="11"/>
      <c r="BD92" s="11"/>
      <c r="BE92" s="11"/>
      <c r="BF92" s="101"/>
      <c r="BG92" s="11"/>
      <c r="BH92" s="11"/>
      <c r="BI92" s="11"/>
      <c r="BJ92" s="11"/>
      <c r="BK92" s="101"/>
      <c r="BL92" s="11"/>
      <c r="BM92" s="11"/>
      <c r="BN92" s="11"/>
      <c r="BO92" s="11"/>
      <c r="BP92" s="11"/>
      <c r="BQ92" s="101"/>
      <c r="BR92" s="11"/>
      <c r="BS92" s="11"/>
      <c r="BT92" s="11"/>
      <c r="BU92" s="11"/>
      <c r="BV92" s="101"/>
      <c r="BW92" s="11"/>
      <c r="BX92" s="11"/>
      <c r="BY92" s="11"/>
      <c r="BZ92" s="11"/>
      <c r="CA92" s="101"/>
      <c r="CB92" s="11"/>
      <c r="CC92" s="11"/>
      <c r="CD92" s="41"/>
      <c r="CE92" s="41"/>
      <c r="CF92" s="101"/>
      <c r="CG92" s="41"/>
      <c r="CH92" s="41"/>
      <c r="CI92" s="41"/>
      <c r="CJ92" s="41"/>
      <c r="CK92" s="41"/>
      <c r="CL92" s="101"/>
    </row>
    <row r="93" spans="1:90">
      <c r="A93" s="282"/>
      <c r="B93" t="s">
        <v>126</v>
      </c>
      <c r="C93" s="34"/>
      <c r="D93" t="s">
        <v>127</v>
      </c>
      <c r="E93" s="86"/>
      <c r="F93" s="48"/>
      <c r="G93" s="48"/>
      <c r="H93" s="48"/>
      <c r="I93" s="48"/>
      <c r="J93" s="75">
        <v>0.36099999999999999</v>
      </c>
      <c r="K93" s="236"/>
      <c r="L93" s="236"/>
      <c r="M93" s="236"/>
      <c r="N93" s="236"/>
      <c r="O93" s="107">
        <v>0.32200000000000001</v>
      </c>
      <c r="P93" s="237"/>
      <c r="Q93" s="237"/>
      <c r="R93" s="237"/>
      <c r="S93" s="237"/>
      <c r="T93" s="107">
        <v>0.41</v>
      </c>
      <c r="U93" s="237"/>
      <c r="V93" s="237"/>
      <c r="W93" s="237"/>
      <c r="X93" s="237"/>
      <c r="Y93" s="237"/>
      <c r="Z93" s="238">
        <v>0.42499999999999999</v>
      </c>
      <c r="AA93" s="236"/>
      <c r="AB93" s="236"/>
      <c r="AC93" s="237"/>
      <c r="AD93" s="237"/>
      <c r="AE93" s="107">
        <v>0.44</v>
      </c>
      <c r="AJ93" s="107">
        <v>0.435</v>
      </c>
      <c r="AP93" s="107">
        <v>0.37</v>
      </c>
      <c r="AU93" s="107">
        <v>0.19</v>
      </c>
      <c r="AZ93" s="107">
        <v>0.185</v>
      </c>
      <c r="BF93" s="107">
        <v>0.17</v>
      </c>
      <c r="BK93" s="107">
        <v>0.31</v>
      </c>
      <c r="BQ93" s="107">
        <v>0.28000000000000003</v>
      </c>
      <c r="BV93" s="107">
        <v>0.2</v>
      </c>
      <c r="CA93" s="107">
        <v>0.24</v>
      </c>
      <c r="CF93" s="107">
        <v>0.25</v>
      </c>
      <c r="CL93" s="107"/>
    </row>
    <row r="94" spans="1:90">
      <c r="B94" t="s">
        <v>126</v>
      </c>
      <c r="D94" t="s">
        <v>69</v>
      </c>
      <c r="E94" s="86"/>
      <c r="F94" s="48"/>
      <c r="G94" s="48"/>
      <c r="H94" s="48"/>
      <c r="I94" s="48"/>
      <c r="J94" s="75">
        <v>0.26300000000000001</v>
      </c>
      <c r="K94" s="236"/>
      <c r="L94" s="236"/>
      <c r="M94" s="236"/>
      <c r="N94" s="236"/>
      <c r="O94" s="107">
        <v>0.30499999999999999</v>
      </c>
      <c r="P94" s="237"/>
      <c r="Q94" s="237"/>
      <c r="R94" s="237"/>
      <c r="S94" s="237"/>
      <c r="T94" s="107">
        <v>0.39100000000000001</v>
      </c>
      <c r="U94" s="237"/>
      <c r="V94" s="237"/>
      <c r="W94" s="237"/>
      <c r="X94" s="237"/>
      <c r="Y94" s="237"/>
      <c r="Z94" s="238">
        <v>0.38600000000000001</v>
      </c>
      <c r="AA94" s="236"/>
      <c r="AB94" s="236"/>
      <c r="AC94" s="237"/>
      <c r="AD94" s="237"/>
      <c r="AE94" s="107">
        <v>0.40200000000000002</v>
      </c>
      <c r="AJ94" s="107">
        <v>0.42699999999999999</v>
      </c>
      <c r="AP94" s="107">
        <v>0.44500000000000001</v>
      </c>
      <c r="AU94" s="107">
        <v>0.41499999999999998</v>
      </c>
      <c r="AZ94" s="107">
        <v>0.46600000000000003</v>
      </c>
      <c r="BF94" s="107">
        <v>0.43</v>
      </c>
      <c r="BK94" s="107">
        <v>0.42</v>
      </c>
      <c r="BQ94" s="107">
        <v>0.38</v>
      </c>
      <c r="BV94" s="334">
        <v>0.42</v>
      </c>
      <c r="CA94" s="334">
        <v>0.46</v>
      </c>
      <c r="CF94" s="334">
        <v>0.45</v>
      </c>
      <c r="CL94" s="334"/>
    </row>
    <row r="95" spans="1:90">
      <c r="BV95" s="40"/>
      <c r="CA95" s="40"/>
      <c r="CF95" s="40"/>
      <c r="CL95" s="40"/>
    </row>
    <row r="96" spans="1:90">
      <c r="BV96" s="40"/>
      <c r="CA96" s="40"/>
      <c r="CF96" s="40"/>
      <c r="CL96" s="40"/>
    </row>
    <row r="97" spans="4:90">
      <c r="BV97" s="40"/>
      <c r="CA97" s="40"/>
      <c r="CF97" s="40"/>
      <c r="CL97" s="40"/>
    </row>
    <row r="98" spans="4:90">
      <c r="BV98" s="40"/>
      <c r="CA98" s="40"/>
      <c r="CF98" s="40"/>
      <c r="CL98" s="40"/>
    </row>
    <row r="99" spans="4:90">
      <c r="O99" s="93">
        <v>28</v>
      </c>
      <c r="P99" s="125"/>
      <c r="Q99" s="125"/>
      <c r="R99" s="125"/>
      <c r="S99" s="125"/>
      <c r="T99" s="93">
        <v>31</v>
      </c>
      <c r="U99" s="125"/>
      <c r="V99" s="125"/>
      <c r="W99" s="125"/>
      <c r="X99" s="125"/>
      <c r="Y99" s="125"/>
      <c r="Z99" s="125">
        <v>30</v>
      </c>
      <c r="AA99" s="93"/>
      <c r="AB99" s="93"/>
      <c r="AC99" s="125"/>
      <c r="AD99" s="125"/>
      <c r="AE99" s="93">
        <v>31</v>
      </c>
      <c r="AF99" s="125"/>
      <c r="AG99" s="125"/>
      <c r="AH99" s="125"/>
      <c r="AI99" s="125"/>
      <c r="AJ99" s="125">
        <v>30</v>
      </c>
      <c r="BV99" s="40"/>
      <c r="CA99" s="40"/>
      <c r="CF99" s="40"/>
      <c r="CL99" s="40"/>
    </row>
    <row r="100" spans="4:90">
      <c r="O100" s="125">
        <f t="shared" ref="O100:AJ100" si="183">+O6/O18</f>
        <v>5843.2438707633828</v>
      </c>
      <c r="P100" s="125">
        <f t="shared" si="183"/>
        <v>0</v>
      </c>
      <c r="Q100" s="125">
        <f t="shared" si="183"/>
        <v>0</v>
      </c>
      <c r="R100" s="125">
        <f t="shared" si="183"/>
        <v>0</v>
      </c>
      <c r="S100" s="125">
        <f t="shared" si="183"/>
        <v>0</v>
      </c>
      <c r="T100" s="125">
        <f t="shared" si="183"/>
        <v>6757.0997912939765</v>
      </c>
      <c r="U100" s="125">
        <f t="shared" si="183"/>
        <v>0</v>
      </c>
      <c r="V100" s="125">
        <f t="shared" si="183"/>
        <v>0</v>
      </c>
      <c r="W100" s="125">
        <f t="shared" si="183"/>
        <v>0</v>
      </c>
      <c r="X100" s="125">
        <f t="shared" si="183"/>
        <v>0</v>
      </c>
      <c r="Y100" s="125">
        <f t="shared" si="183"/>
        <v>0</v>
      </c>
      <c r="Z100" s="125">
        <f t="shared" si="183"/>
        <v>6340.0559127439728</v>
      </c>
      <c r="AA100" s="125">
        <f t="shared" si="183"/>
        <v>0</v>
      </c>
      <c r="AB100" s="125">
        <f t="shared" si="183"/>
        <v>0</v>
      </c>
      <c r="AC100" s="125">
        <f t="shared" si="183"/>
        <v>0</v>
      </c>
      <c r="AD100" s="125">
        <f t="shared" si="183"/>
        <v>0</v>
      </c>
      <c r="AE100" s="125">
        <f t="shared" si="183"/>
        <v>6556.2719491993385</v>
      </c>
      <c r="AF100" s="125">
        <f t="shared" si="183"/>
        <v>0</v>
      </c>
      <c r="AG100" s="125">
        <f t="shared" si="183"/>
        <v>0</v>
      </c>
      <c r="AH100" s="125">
        <f t="shared" si="183"/>
        <v>0</v>
      </c>
      <c r="AI100" s="125">
        <f t="shared" si="183"/>
        <v>0</v>
      </c>
      <c r="AJ100" s="125">
        <f t="shared" si="183"/>
        <v>6319.217044545212</v>
      </c>
      <c r="AP100" s="125">
        <f>+AP6/385</f>
        <v>6315.5768257142854</v>
      </c>
      <c r="BF100">
        <v>732345</v>
      </c>
      <c r="BV100" s="40"/>
      <c r="CA100" s="40"/>
      <c r="CF100" s="40"/>
      <c r="CL100" s="40"/>
    </row>
    <row r="101" spans="4:90">
      <c r="D101" t="s">
        <v>128</v>
      </c>
      <c r="O101" s="93">
        <f>+O100/28*31</f>
        <v>6469.3057140594592</v>
      </c>
      <c r="P101" s="125"/>
      <c r="Q101" s="125"/>
      <c r="R101" s="125"/>
      <c r="S101" s="125"/>
      <c r="T101" s="93">
        <f>+T100</f>
        <v>6757.0997912939765</v>
      </c>
      <c r="U101" s="125"/>
      <c r="V101" s="125"/>
      <c r="W101" s="125"/>
      <c r="X101" s="125"/>
      <c r="Y101" s="125"/>
      <c r="Z101" s="125">
        <f>+Z100/30*31</f>
        <v>6551.3911098354392</v>
      </c>
      <c r="AA101" s="93"/>
      <c r="AB101" s="93"/>
      <c r="AC101" s="125"/>
      <c r="AD101" s="125"/>
      <c r="AE101" s="93">
        <f>+AE100</f>
        <v>6556.2719491993385</v>
      </c>
      <c r="AF101" s="125"/>
      <c r="AG101" s="125"/>
      <c r="AH101" s="125"/>
      <c r="AI101" s="125"/>
      <c r="AJ101" s="125">
        <f>+AJ100/30*31</f>
        <v>6529.8576126967191</v>
      </c>
      <c r="BF101">
        <f>+BF10*30</f>
        <v>3300</v>
      </c>
      <c r="BV101" s="40"/>
      <c r="CA101" s="40"/>
      <c r="CF101" s="40"/>
      <c r="CL101" s="40"/>
    </row>
    <row r="102" spans="4:90">
      <c r="AJ102" s="125">
        <f>+AJ100*10</f>
        <v>63192.170445452124</v>
      </c>
      <c r="BF102">
        <f>+BF100/BF101</f>
        <v>221.92272727272729</v>
      </c>
      <c r="BV102" s="40"/>
      <c r="CA102" s="40"/>
      <c r="CF102" s="40"/>
      <c r="CL102" s="40"/>
    </row>
  </sheetData>
  <mergeCells count="1">
    <mergeCell ref="A82:A83"/>
  </mergeCells>
  <conditionalFormatting sqref="Y17:Y18">
    <cfRule type="expression" dxfId="103" priority="638">
      <formula>IF((Y17-X17)/X17&gt;=0.05,TRUE,FALSE)</formula>
    </cfRule>
    <cfRule type="expression" dxfId="102" priority="639">
      <formula>IF((Y17-X17)/X17&lt;=-0.05,TRUE,FALSE)</formula>
    </cfRule>
  </conditionalFormatting>
  <conditionalFormatting sqref="Y50:Y53">
    <cfRule type="expression" dxfId="101" priority="692">
      <formula>IF((Y50-X50)/X50&gt;=0.05,TRUE,FALSE)</formula>
    </cfRule>
    <cfRule type="expression" dxfId="100" priority="693">
      <formula>IF((Y50-X50)/X50&lt;=-0.05,TRUE,FALSE)</formula>
    </cfRule>
  </conditionalFormatting>
  <conditionalFormatting sqref="AA69:AA72">
    <cfRule type="expression" dxfId="99" priority="612">
      <formula>IF((AA69-Y69)/Y69&gt;=0.05,TRUE,FALSE)</formula>
    </cfRule>
    <cfRule type="expression" dxfId="98" priority="613">
      <formula>IF((AA69-Y69)/Y69&lt;=-0.05,TRUE,FALSE)</formula>
    </cfRule>
  </conditionalFormatting>
  <conditionalFormatting sqref="AC68:AC72">
    <cfRule type="expression" dxfId="97" priority="534">
      <formula>IF((AC68-AB68)/AB68&gt;=0.05,TRUE,FALSE)</formula>
    </cfRule>
    <cfRule type="expression" dxfId="96" priority="535">
      <formula>IF((AC68-AB68)/AB68&lt;=-0.05,TRUE,FALSE)</formula>
    </cfRule>
  </conditionalFormatting>
  <conditionalFormatting sqref="AI68:AI72">
    <cfRule type="expression" dxfId="95" priority="360">
      <formula>IF((AI68-AH68)/AH68&gt;=0.05,TRUE,FALSE)</formula>
    </cfRule>
    <cfRule type="expression" dxfId="94" priority="361">
      <formula>IF((AI68-AH68)/AH68&lt;=-0.05,TRUE,FALSE)</formula>
    </cfRule>
  </conditionalFormatting>
  <conditionalFormatting sqref="AK50:AK53">
    <cfRule type="expression" dxfId="93" priority="318">
      <formula>IF((AK50-AI50)/AI50&gt;=0.05,TRUE,FALSE)</formula>
    </cfRule>
    <cfRule type="expression" dxfId="92" priority="319">
      <formula>IF((AK50-AI50)/AI50&lt;=-0.05,TRUE,FALSE)</formula>
    </cfRule>
  </conditionalFormatting>
  <conditionalFormatting sqref="AN65:AN66">
    <cfRule type="expression" dxfId="91" priority="268">
      <formula>IF((AN65-AM65)/AM65&gt;=0.05,TRUE,FALSE)</formula>
    </cfRule>
    <cfRule type="expression" dxfId="90" priority="269">
      <formula>IF((AN65-AM65)/AM65&lt;=-0.05,TRUE,FALSE)</formula>
    </cfRule>
  </conditionalFormatting>
  <conditionalFormatting sqref="BM7">
    <cfRule type="expression" dxfId="89" priority="98">
      <formula>IF((BM7-BJ7)/BJ7&gt;=0.05,TRUE,FALSE)</formula>
    </cfRule>
    <cfRule type="expression" dxfId="88" priority="99">
      <formula>IF((BM7-BJ7)/BJ7&lt;=-0.05,TRUE,FALSE)</formula>
    </cfRule>
  </conditionalFormatting>
  <conditionalFormatting sqref="CK7:CK8 CK10:CK13 CK20:CK21 CK23:CK26">
    <cfRule type="expression" dxfId="87" priority="1">
      <formula>IF((CK7-CJ7)/CJ7&gt;=0.05,TRUE,FALSE)</formula>
    </cfRule>
    <cfRule type="expression" dxfId="86" priority="2">
      <formula>IF((CK7-CJ7)/CJ7&lt;=-0.05,TRUE,FALSE)</formula>
    </cfRule>
  </conditionalFormatting>
  <conditionalFormatting sqref="CK36:CK43 CK45:CK48">
    <cfRule type="expression" dxfId="85" priority="3">
      <formula>IF((CK36-CJ36)/CJ36&gt;=0.05,TRUE,FALSE)</formula>
    </cfRule>
    <cfRule type="expression" dxfId="84" priority="4">
      <formula>IF((CK36-CJ36)/CJ36&lt;=-0.05,TRUE,FALSE)</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60405-DAAB-4AC0-AD44-2C8455A7180B}">
  <dimension ref="A1:DE137"/>
  <sheetViews>
    <sheetView workbookViewId="0">
      <pane xSplit="9" ySplit="1" topLeftCell="R2" activePane="bottomRight" state="frozen"/>
      <selection pane="bottomRight" activeCell="B6" sqref="B6"/>
      <selection pane="bottomLeft"/>
      <selection pane="topRight"/>
    </sheetView>
  </sheetViews>
  <sheetFormatPr defaultColWidth="9.140625" defaultRowHeight="15" outlineLevelCol="1"/>
  <cols>
    <col min="1" max="1" width="27.140625" customWidth="1"/>
    <col min="2" max="2" width="37.7109375" customWidth="1"/>
    <col min="3" max="3" width="15.28515625" hidden="1" customWidth="1"/>
    <col min="4" max="4" width="14" customWidth="1"/>
    <col min="5" max="9" width="9.140625" hidden="1" customWidth="1" outlineLevel="1"/>
    <col min="10" max="10" width="10.42578125" bestFit="1" customWidth="1" collapsed="1"/>
    <col min="11" max="11" width="10.42578125" customWidth="1"/>
    <col min="12" max="12" width="10.42578125" style="169" bestFit="1" customWidth="1"/>
    <col min="13" max="14" width="7.7109375" hidden="1" customWidth="1" outlineLevel="1"/>
    <col min="15" max="15" width="11.42578125" style="61" hidden="1" customWidth="1" outlineLevel="1"/>
    <col min="16" max="16" width="8.7109375" hidden="1" customWidth="1" outlineLevel="1"/>
    <col min="17" max="17" width="7.7109375" hidden="1" customWidth="1" outlineLevel="1"/>
    <col min="18" max="18" width="11.28515625" customWidth="1" collapsed="1"/>
    <col min="19" max="19" width="7.7109375" hidden="1" customWidth="1" outlineLevel="1"/>
    <col min="20" max="22" width="8.7109375" hidden="1" customWidth="1" outlineLevel="1"/>
    <col min="23" max="23" width="11.42578125" bestFit="1" customWidth="1" collapsed="1"/>
    <col min="24" max="24" width="6.5703125" hidden="1" customWidth="1"/>
    <col min="25" max="25" width="7.7109375" hidden="1" customWidth="1"/>
    <col min="26" max="27" width="8.7109375" hidden="1" customWidth="1"/>
    <col min="28" max="29" width="11.42578125" bestFit="1" customWidth="1"/>
    <col min="30" max="30" width="12.140625" customWidth="1"/>
    <col min="31" max="31" width="10.5703125" bestFit="1" customWidth="1"/>
    <col min="32" max="32" width="11.5703125" customWidth="1"/>
    <col min="33" max="33" width="11" customWidth="1"/>
    <col min="34" max="34" width="13.28515625" bestFit="1" customWidth="1"/>
    <col min="35" max="35" width="10.5703125" bestFit="1" customWidth="1"/>
    <col min="36" max="36" width="10.5703125" customWidth="1"/>
    <col min="37" max="37" width="9.5703125" customWidth="1"/>
  </cols>
  <sheetData>
    <row r="1" spans="1:109">
      <c r="A1" s="7" t="s">
        <v>0</v>
      </c>
      <c r="B1" s="7" t="s">
        <v>1</v>
      </c>
      <c r="C1" s="31" t="s">
        <v>2</v>
      </c>
      <c r="D1" s="92" t="s">
        <v>3</v>
      </c>
      <c r="E1" s="80">
        <v>45505</v>
      </c>
      <c r="F1" s="66">
        <v>45536</v>
      </c>
      <c r="G1" s="66">
        <v>45566</v>
      </c>
      <c r="H1" s="66">
        <v>45597</v>
      </c>
      <c r="I1" s="66">
        <v>45627</v>
      </c>
      <c r="J1" s="67">
        <v>45658</v>
      </c>
      <c r="K1" s="100">
        <v>45689</v>
      </c>
      <c r="L1" s="100">
        <v>45717</v>
      </c>
      <c r="M1" s="8" t="s">
        <v>8</v>
      </c>
      <c r="N1" s="8" t="s">
        <v>9</v>
      </c>
      <c r="O1" s="170" t="s">
        <v>10</v>
      </c>
      <c r="P1" s="8" t="s">
        <v>11</v>
      </c>
      <c r="Q1" s="99" t="s">
        <v>12</v>
      </c>
      <c r="R1" s="100">
        <v>45748</v>
      </c>
      <c r="S1" s="8" t="s">
        <v>13</v>
      </c>
      <c r="T1" s="8" t="s">
        <v>14</v>
      </c>
      <c r="U1" s="8" t="s">
        <v>15</v>
      </c>
      <c r="V1" s="8" t="s">
        <v>16</v>
      </c>
      <c r="W1" s="100">
        <v>45778</v>
      </c>
      <c r="X1" s="8" t="s">
        <v>17</v>
      </c>
      <c r="Y1" s="8" t="s">
        <v>18</v>
      </c>
      <c r="Z1" s="8" t="s">
        <v>19</v>
      </c>
      <c r="AA1" s="99" t="s">
        <v>20</v>
      </c>
      <c r="AB1" s="207">
        <v>45809</v>
      </c>
      <c r="AC1" s="207">
        <v>45839</v>
      </c>
      <c r="AD1" s="207">
        <v>45870</v>
      </c>
      <c r="AE1" s="207">
        <v>45901</v>
      </c>
      <c r="AF1" s="207">
        <v>45931</v>
      </c>
      <c r="AG1" s="207">
        <v>45962</v>
      </c>
      <c r="AH1" s="207">
        <v>45992</v>
      </c>
      <c r="AI1" s="207">
        <v>46023</v>
      </c>
      <c r="AJ1" s="207">
        <v>46054</v>
      </c>
      <c r="AK1" s="207">
        <v>46082</v>
      </c>
    </row>
    <row r="2" spans="1:109" s="172" customFormat="1">
      <c r="A2" s="171" t="s">
        <v>129</v>
      </c>
      <c r="B2" s="172" t="s">
        <v>130</v>
      </c>
      <c r="L2" s="173"/>
      <c r="O2" s="174"/>
      <c r="BQ2" s="172">
        <f>+'Company Scorecard'!CJ3</f>
        <v>0</v>
      </c>
      <c r="BR2" s="172" t="e">
        <f>+'Company Scorecard'!#REF!</f>
        <v>#REF!</v>
      </c>
      <c r="BS2" s="172">
        <f>+'Company Scorecard'!CM3</f>
        <v>0</v>
      </c>
      <c r="BT2" s="172">
        <f>+'Company Scorecard'!CN3</f>
        <v>0</v>
      </c>
      <c r="BU2" s="172">
        <f>+'Company Scorecard'!CO3</f>
        <v>0</v>
      </c>
      <c r="BV2" s="172">
        <f>+'Company Scorecard'!CP3</f>
        <v>0</v>
      </c>
      <c r="BW2" s="172">
        <f>+'Company Scorecard'!CQ3</f>
        <v>0</v>
      </c>
      <c r="BX2" s="172">
        <f>+'Company Scorecard'!CR3</f>
        <v>0</v>
      </c>
      <c r="BY2" s="172">
        <f>+'Company Scorecard'!CS3</f>
        <v>0</v>
      </c>
      <c r="BZ2" s="172">
        <f>+'Company Scorecard'!CT3</f>
        <v>0</v>
      </c>
      <c r="CA2" s="172">
        <f>+'Company Scorecard'!CU3</f>
        <v>0</v>
      </c>
      <c r="CB2" s="172">
        <f>+'Company Scorecard'!CV3</f>
        <v>0</v>
      </c>
      <c r="CC2" s="172">
        <f>+'Company Scorecard'!CW3</f>
        <v>0</v>
      </c>
      <c r="CD2" s="172">
        <f>+'Company Scorecard'!CX3</f>
        <v>0</v>
      </c>
      <c r="CE2" s="172">
        <f>+'Company Scorecard'!CY3</f>
        <v>0</v>
      </c>
      <c r="CF2" s="172">
        <f>+'Company Scorecard'!CZ3</f>
        <v>0</v>
      </c>
      <c r="CG2" s="172">
        <f>+'Company Scorecard'!DA3</f>
        <v>0</v>
      </c>
      <c r="CH2" s="172">
        <f>+'Company Scorecard'!DB3</f>
        <v>0</v>
      </c>
      <c r="CI2" s="172">
        <f>+'Company Scorecard'!DC3</f>
        <v>0</v>
      </c>
      <c r="CJ2" s="172">
        <f>+'Company Scorecard'!DD3</f>
        <v>0</v>
      </c>
      <c r="CK2" s="172">
        <f>+'Company Scorecard'!DE3</f>
        <v>0</v>
      </c>
      <c r="CL2" s="172">
        <f>+'Company Scorecard'!DF3</f>
        <v>0</v>
      </c>
      <c r="CM2" s="172">
        <f>+'Company Scorecard'!DG3</f>
        <v>0</v>
      </c>
      <c r="CN2" s="172">
        <f>+'Company Scorecard'!DH3</f>
        <v>0</v>
      </c>
      <c r="CO2" s="172">
        <f>+'Company Scorecard'!DI3</f>
        <v>0</v>
      </c>
      <c r="CP2" s="172">
        <f>+'Company Scorecard'!DJ3</f>
        <v>0</v>
      </c>
      <c r="CQ2" s="172">
        <f>+'Company Scorecard'!DK3</f>
        <v>0</v>
      </c>
      <c r="CR2" s="172">
        <f>+'Company Scorecard'!DL3</f>
        <v>0</v>
      </c>
      <c r="CS2" s="172">
        <f>+'Company Scorecard'!DM3</f>
        <v>0</v>
      </c>
      <c r="CT2" s="172">
        <f>+'Company Scorecard'!DN3</f>
        <v>0</v>
      </c>
      <c r="CU2" s="172">
        <f>+'Company Scorecard'!DO3</f>
        <v>0</v>
      </c>
      <c r="CV2" s="172">
        <f>+'Company Scorecard'!DP3</f>
        <v>0</v>
      </c>
      <c r="CW2" s="172">
        <f>+'Company Scorecard'!DQ3</f>
        <v>0</v>
      </c>
      <c r="CX2" s="172">
        <f>+'Company Scorecard'!DR3</f>
        <v>0</v>
      </c>
      <c r="CY2" s="172">
        <f>+'Company Scorecard'!DS3</f>
        <v>0</v>
      </c>
      <c r="CZ2" s="172">
        <f>+'Company Scorecard'!DT3</f>
        <v>0</v>
      </c>
      <c r="DA2" s="172">
        <f>+'Company Scorecard'!DU3</f>
        <v>0</v>
      </c>
      <c r="DB2" s="172">
        <f>+'Company Scorecard'!DV3</f>
        <v>0</v>
      </c>
      <c r="DC2" s="172">
        <f>+'Company Scorecard'!DW3</f>
        <v>0</v>
      </c>
      <c r="DD2" s="172">
        <f>+'Company Scorecard'!DX3</f>
        <v>0</v>
      </c>
      <c r="DE2" s="172">
        <f>+'Company Scorecard'!DY3</f>
        <v>0</v>
      </c>
    </row>
    <row r="3" spans="1:109">
      <c r="B3" t="s">
        <v>131</v>
      </c>
      <c r="D3" t="s">
        <v>132</v>
      </c>
      <c r="J3" s="169">
        <v>56376.4</v>
      </c>
      <c r="K3" s="169">
        <v>74117.61</v>
      </c>
      <c r="L3" s="169">
        <v>77595.09</v>
      </c>
      <c r="R3" s="169">
        <v>77577.320000000007</v>
      </c>
      <c r="W3" s="125">
        <v>58680.68</v>
      </c>
      <c r="AB3" s="125">
        <v>81638.789999999994</v>
      </c>
      <c r="AC3" s="125">
        <v>90838.75</v>
      </c>
      <c r="AD3" s="125">
        <v>28757.08</v>
      </c>
      <c r="AE3" s="125">
        <v>29488.240000000002</v>
      </c>
      <c r="AF3" s="125">
        <v>28178.49</v>
      </c>
      <c r="AG3" s="125">
        <v>29666.35</v>
      </c>
      <c r="AH3" s="125">
        <v>37176.61</v>
      </c>
      <c r="AI3" s="125">
        <v>38331.370000000003</v>
      </c>
      <c r="AJ3" s="125">
        <v>35725.72</v>
      </c>
      <c r="AK3" s="125">
        <v>43011.89</v>
      </c>
    </row>
    <row r="4" spans="1:109">
      <c r="D4" t="s">
        <v>133</v>
      </c>
      <c r="J4" s="169">
        <v>78266.240000000005</v>
      </c>
      <c r="K4" s="169">
        <v>69991.63</v>
      </c>
      <c r="L4" s="169">
        <v>80079.7</v>
      </c>
      <c r="R4" s="169">
        <v>77669.320000000007</v>
      </c>
      <c r="W4" s="125">
        <v>90096.88</v>
      </c>
      <c r="AB4" s="125">
        <v>93329.09</v>
      </c>
      <c r="AC4" s="125">
        <v>89450.47</v>
      </c>
      <c r="AD4" s="125">
        <v>23813.63</v>
      </c>
      <c r="AE4" s="125">
        <v>31632.84</v>
      </c>
      <c r="AF4" s="125">
        <v>28525.43</v>
      </c>
      <c r="AG4" s="125">
        <v>32558.69</v>
      </c>
      <c r="AH4" s="125">
        <v>48246.48</v>
      </c>
      <c r="AI4" s="125">
        <v>73681.75</v>
      </c>
      <c r="AJ4" s="125">
        <v>85957.62</v>
      </c>
      <c r="AK4" s="125">
        <v>110278.71</v>
      </c>
    </row>
    <row r="5" spans="1:109">
      <c r="D5" t="s">
        <v>134</v>
      </c>
      <c r="J5" s="274">
        <v>218196.55</v>
      </c>
      <c r="K5" s="274">
        <v>239016.32000000001</v>
      </c>
      <c r="L5" s="274">
        <v>284511.57</v>
      </c>
      <c r="R5" s="274">
        <v>363189.05</v>
      </c>
      <c r="W5" s="125">
        <v>410882.67</v>
      </c>
      <c r="AB5" s="275">
        <v>391076.55</v>
      </c>
      <c r="AC5" s="125">
        <v>340833.24</v>
      </c>
      <c r="AD5" s="125">
        <v>383413.84</v>
      </c>
      <c r="AE5" s="125">
        <v>384798</v>
      </c>
      <c r="AF5" s="125">
        <v>502579.24</v>
      </c>
      <c r="AG5" s="125">
        <v>439015</v>
      </c>
      <c r="AH5" s="125">
        <v>436239</v>
      </c>
      <c r="AI5" s="125">
        <v>499145</v>
      </c>
      <c r="AJ5" s="125">
        <v>528096</v>
      </c>
      <c r="AK5" s="125">
        <v>419895</v>
      </c>
    </row>
    <row r="6" spans="1:109">
      <c r="D6" s="276" t="s">
        <v>76</v>
      </c>
      <c r="J6" s="275">
        <v>218196.55</v>
      </c>
      <c r="K6" s="275">
        <v>239016.32000000001</v>
      </c>
      <c r="L6" s="275">
        <v>271878.90999999997</v>
      </c>
      <c r="M6" s="275"/>
      <c r="N6" s="275"/>
      <c r="O6" s="275"/>
      <c r="P6" s="275"/>
      <c r="Q6" s="275"/>
      <c r="R6" s="275">
        <v>237033.61</v>
      </c>
      <c r="S6" s="275"/>
      <c r="T6" s="275"/>
      <c r="U6" s="275"/>
      <c r="V6" s="275"/>
      <c r="W6" s="275">
        <v>236199.39</v>
      </c>
      <c r="AB6" s="275">
        <v>239905.51</v>
      </c>
      <c r="AC6" s="125">
        <v>179347.65</v>
      </c>
      <c r="AD6" s="123">
        <v>199798.98</v>
      </c>
      <c r="AE6" s="125">
        <f>230.19+231883.66</f>
        <v>232113.85</v>
      </c>
      <c r="AF6" s="125">
        <f>254055.98+7366.08</f>
        <v>261422.06</v>
      </c>
      <c r="AG6" s="125">
        <f>14174+196682.87</f>
        <v>210856.87</v>
      </c>
      <c r="AH6" s="125">
        <f>19250.4+188650.1</f>
        <v>207900.5</v>
      </c>
      <c r="AI6" s="125">
        <f>19250.4+193216.19</f>
        <v>212466.59</v>
      </c>
      <c r="AJ6" s="125">
        <v>206430.88</v>
      </c>
      <c r="AK6" s="125">
        <v>147874.74</v>
      </c>
    </row>
    <row r="7" spans="1:109">
      <c r="D7" s="276" t="s">
        <v>77</v>
      </c>
      <c r="J7" s="275">
        <v>0</v>
      </c>
      <c r="K7" s="275">
        <v>0</v>
      </c>
      <c r="L7" s="275">
        <v>1550.2</v>
      </c>
      <c r="M7" s="275"/>
      <c r="N7" s="275"/>
      <c r="O7" s="275"/>
      <c r="P7" s="275"/>
      <c r="Q7" s="275"/>
      <c r="R7" s="275">
        <v>11231.39</v>
      </c>
      <c r="S7" s="275"/>
      <c r="T7" s="275"/>
      <c r="U7" s="275"/>
      <c r="V7" s="275"/>
      <c r="W7" s="275">
        <v>22848.47</v>
      </c>
      <c r="AB7" s="275">
        <v>17477.939999999999</v>
      </c>
      <c r="AC7" s="125">
        <v>9102.1299999999992</v>
      </c>
      <c r="AD7" s="125">
        <v>11657.28</v>
      </c>
      <c r="AE7" s="125">
        <f>244.29+19456.79</f>
        <v>19701.080000000002</v>
      </c>
      <c r="AF7" s="125">
        <f>28185.81+7328.7</f>
        <v>35514.51</v>
      </c>
      <c r="AG7" s="125">
        <f>14942.26+27015.26</f>
        <v>41957.52</v>
      </c>
      <c r="AH7" s="125">
        <f>22845.92+3712.65</f>
        <v>26558.57</v>
      </c>
      <c r="AI7" s="125">
        <f>29884.62+8489.69</f>
        <v>38374.31</v>
      </c>
      <c r="AJ7" s="125">
        <f>37213.42+14022.81</f>
        <v>51236.229999999996</v>
      </c>
      <c r="AK7" s="125">
        <f>44826.98+18051.59</f>
        <v>62878.570000000007</v>
      </c>
    </row>
    <row r="8" spans="1:109">
      <c r="D8" s="276" t="s">
        <v>78</v>
      </c>
      <c r="J8" s="275">
        <v>0</v>
      </c>
      <c r="K8" s="275">
        <v>0</v>
      </c>
      <c r="L8" s="275">
        <v>1540.2</v>
      </c>
      <c r="M8" s="275"/>
      <c r="N8" s="275"/>
      <c r="O8" s="275"/>
      <c r="P8" s="275"/>
      <c r="Q8" s="275"/>
      <c r="R8" s="275">
        <v>20530.310000000001</v>
      </c>
      <c r="S8" s="275"/>
      <c r="T8" s="275"/>
      <c r="U8" s="275"/>
      <c r="V8" s="275"/>
      <c r="W8" s="275">
        <v>38170.14</v>
      </c>
      <c r="AB8" s="275">
        <v>32281.62</v>
      </c>
      <c r="AC8" s="125">
        <v>50396.72</v>
      </c>
      <c r="AD8" s="125">
        <v>73419.3</v>
      </c>
      <c r="AE8" s="125">
        <v>71842.09</v>
      </c>
      <c r="AF8" s="125">
        <v>102865.17</v>
      </c>
      <c r="AG8" s="125">
        <v>100933.19</v>
      </c>
      <c r="AH8" s="125">
        <v>71014.97</v>
      </c>
      <c r="AI8" s="125">
        <v>90998.59</v>
      </c>
      <c r="AJ8" s="125">
        <v>80430.710000000006</v>
      </c>
      <c r="AK8" s="125">
        <v>88116.29</v>
      </c>
    </row>
    <row r="9" spans="1:109">
      <c r="D9" s="276" t="s">
        <v>89</v>
      </c>
      <c r="J9" s="275">
        <v>0</v>
      </c>
      <c r="K9" s="275">
        <v>0</v>
      </c>
      <c r="L9" s="275">
        <f>8764.6+777.66</f>
        <v>9542.26</v>
      </c>
      <c r="M9" s="275"/>
      <c r="N9" s="275"/>
      <c r="O9" s="275"/>
      <c r="P9" s="275"/>
      <c r="Q9" s="275"/>
      <c r="R9" s="275">
        <f>49845.85+44547.89</f>
        <v>94393.739999999991</v>
      </c>
      <c r="S9" s="275"/>
      <c r="T9" s="275"/>
      <c r="U9" s="275"/>
      <c r="V9" s="275"/>
      <c r="W9" s="275">
        <f>20853.53+92811.14</f>
        <v>113664.67</v>
      </c>
      <c r="AB9" s="275">
        <f>85260.89+16150.59</f>
        <v>101411.48</v>
      </c>
      <c r="AC9" s="125">
        <f>16430.77+85555.97</f>
        <v>101986.74</v>
      </c>
      <c r="AD9" s="125">
        <f>23591.47+74946.81</f>
        <v>98538.28</v>
      </c>
      <c r="AE9" s="125">
        <f>36814.8+24326.55</f>
        <v>61141.350000000006</v>
      </c>
      <c r="AF9" s="125">
        <f>78450.95+24326.55</f>
        <v>102777.5</v>
      </c>
      <c r="AG9" s="125">
        <f>72225.26+13042.54</f>
        <v>85267.799999999988</v>
      </c>
      <c r="AH9" s="125">
        <f>128821.57+1943.15</f>
        <v>130764.72</v>
      </c>
      <c r="AI9" s="125">
        <f>155792.72+1512.83</f>
        <v>157305.54999999999</v>
      </c>
      <c r="AJ9" s="125">
        <f>176823.9+13173.86</f>
        <v>189997.76</v>
      </c>
      <c r="AK9" s="125">
        <f>103643.72+17381.54</f>
        <v>121025.26000000001</v>
      </c>
    </row>
    <row r="10" spans="1:109">
      <c r="A10" s="171" t="s">
        <v>135</v>
      </c>
      <c r="B10" s="172"/>
      <c r="C10" s="172"/>
      <c r="D10" s="172"/>
      <c r="E10" s="172"/>
      <c r="F10" s="172"/>
      <c r="G10" s="172"/>
      <c r="H10" s="172"/>
      <c r="I10" s="172"/>
      <c r="J10" s="172"/>
      <c r="K10" s="172"/>
      <c r="L10" s="173"/>
      <c r="M10" s="172"/>
      <c r="N10" s="172"/>
      <c r="O10" s="174"/>
      <c r="P10" s="172"/>
      <c r="Q10" s="172"/>
      <c r="R10" s="172"/>
      <c r="S10" s="172"/>
      <c r="T10" s="172"/>
      <c r="U10" s="172"/>
      <c r="V10" s="172"/>
      <c r="W10" s="172"/>
      <c r="X10" s="172"/>
      <c r="Y10" s="172"/>
      <c r="Z10" s="172"/>
      <c r="AA10" s="172"/>
      <c r="AB10" s="172"/>
      <c r="AC10" s="172"/>
      <c r="AD10" s="172"/>
      <c r="AE10" s="172"/>
      <c r="AF10" s="278"/>
      <c r="AG10" s="172"/>
      <c r="AH10" s="172"/>
      <c r="AI10" s="172"/>
      <c r="AJ10" s="172"/>
      <c r="AK10" s="172"/>
    </row>
    <row r="11" spans="1:109">
      <c r="D11" t="s">
        <v>132</v>
      </c>
      <c r="J11" s="125">
        <v>480654.02</v>
      </c>
      <c r="K11" s="125">
        <v>413017.85</v>
      </c>
      <c r="L11" s="125">
        <v>636508.94999999995</v>
      </c>
      <c r="M11" s="272"/>
      <c r="N11" s="272"/>
      <c r="O11" s="272"/>
      <c r="P11" s="272"/>
      <c r="Q11" s="272"/>
      <c r="R11" s="125">
        <v>591191.52</v>
      </c>
      <c r="S11" s="272"/>
      <c r="T11" s="272"/>
      <c r="U11" s="272"/>
      <c r="V11" s="272"/>
      <c r="W11" s="125">
        <v>534929.66</v>
      </c>
      <c r="X11" s="272"/>
      <c r="Y11" s="272"/>
      <c r="Z11" s="272"/>
      <c r="AA11" s="272"/>
      <c r="AB11" s="125">
        <v>407582.89</v>
      </c>
      <c r="AC11" s="125">
        <v>352097.21</v>
      </c>
      <c r="AD11" s="125">
        <v>219089.02</v>
      </c>
      <c r="AE11" s="125">
        <v>194335.03</v>
      </c>
      <c r="AF11" s="125">
        <v>323403.86</v>
      </c>
      <c r="AG11" s="335">
        <f>544029.35-17773.64</f>
        <v>526255.71</v>
      </c>
      <c r="AH11" s="335">
        <f>695501.69-17773.64</f>
        <v>677728.04999999993</v>
      </c>
      <c r="AI11" s="335">
        <f>702552.08-26913.69</f>
        <v>675638.39</v>
      </c>
      <c r="AJ11" s="335"/>
      <c r="AK11" s="335"/>
    </row>
    <row r="12" spans="1:109">
      <c r="D12" t="s">
        <v>133</v>
      </c>
      <c r="J12" s="125">
        <v>358555.43</v>
      </c>
      <c r="K12" s="125">
        <v>330187.83</v>
      </c>
      <c r="L12" s="125">
        <v>554479.18999999994</v>
      </c>
      <c r="M12" s="272"/>
      <c r="N12" s="272"/>
      <c r="O12" s="272"/>
      <c r="P12" s="272"/>
      <c r="Q12" s="272"/>
      <c r="R12" s="125">
        <v>668405.41</v>
      </c>
      <c r="S12" s="272"/>
      <c r="T12" s="272"/>
      <c r="U12" s="272"/>
      <c r="V12" s="272"/>
      <c r="W12" s="125">
        <v>1027342.89</v>
      </c>
      <c r="X12" s="272"/>
      <c r="Y12" s="272"/>
      <c r="Z12" s="272"/>
      <c r="AA12" s="272"/>
      <c r="AB12" s="125">
        <v>1063435.9099999999</v>
      </c>
      <c r="AC12" s="125">
        <v>1263951.1399999999</v>
      </c>
      <c r="AD12" s="125">
        <v>1060551.78</v>
      </c>
      <c r="AE12" s="125">
        <v>950179.49</v>
      </c>
      <c r="AF12" s="125">
        <v>822844.28</v>
      </c>
      <c r="AG12" s="335">
        <f>596367.73-32644.02</f>
        <v>563723.71</v>
      </c>
      <c r="AH12" s="335">
        <f>561322.22-32644.02</f>
        <v>528678.19999999995</v>
      </c>
      <c r="AI12" s="335">
        <f>483611.54-29272.91</f>
        <v>454338.63</v>
      </c>
      <c r="AJ12" s="335"/>
      <c r="AK12" s="335"/>
    </row>
    <row r="13" spans="1:109">
      <c r="D13" t="s">
        <v>134</v>
      </c>
      <c r="J13" s="125">
        <v>2895764.33</v>
      </c>
      <c r="K13" s="125">
        <v>2728862.3</v>
      </c>
      <c r="L13" s="125">
        <v>2930241.03</v>
      </c>
      <c r="M13" s="272"/>
      <c r="N13" s="272"/>
      <c r="O13" s="272"/>
      <c r="P13" s="272"/>
      <c r="Q13" s="272"/>
      <c r="R13" s="125">
        <v>2821017.48</v>
      </c>
      <c r="S13" s="272"/>
      <c r="T13" s="272"/>
      <c r="U13" s="272"/>
      <c r="V13" s="272"/>
      <c r="W13" s="125">
        <v>2875274.13</v>
      </c>
      <c r="X13" s="272"/>
      <c r="Y13" s="272"/>
      <c r="Z13" s="272"/>
      <c r="AA13" s="272"/>
      <c r="AB13" s="125">
        <v>2882383.65</v>
      </c>
      <c r="AC13" s="125">
        <v>3097251.36</v>
      </c>
      <c r="AD13" s="125">
        <v>2957038.17</v>
      </c>
      <c r="AE13" s="125">
        <v>3148026.89</v>
      </c>
      <c r="AF13" s="125">
        <v>2899516.28</v>
      </c>
      <c r="AG13" s="335">
        <f>2246646.19+984612.94-84689.81-61034.92</f>
        <v>3085534.4</v>
      </c>
      <c r="AH13" s="335">
        <f>2143900.72+711921.02-84689.81-61034.92</f>
        <v>2710097.0100000002</v>
      </c>
      <c r="AI13" s="335">
        <f>2555482.06+844526.15-241601.84-77040.96</f>
        <v>3081365.41</v>
      </c>
      <c r="AJ13" s="335"/>
      <c r="AK13" s="335"/>
    </row>
    <row r="14" spans="1:109">
      <c r="B14" t="s">
        <v>120</v>
      </c>
      <c r="J14" s="125">
        <f t="shared" ref="J14:AA14" si="0">+J13+J12+J11</f>
        <v>3734973.7800000003</v>
      </c>
      <c r="K14" s="125">
        <f t="shared" si="0"/>
        <v>3472067.98</v>
      </c>
      <c r="L14" s="125">
        <f t="shared" si="0"/>
        <v>4121229.17</v>
      </c>
      <c r="M14" s="125">
        <f t="shared" si="0"/>
        <v>0</v>
      </c>
      <c r="N14" s="125">
        <f t="shared" si="0"/>
        <v>0</v>
      </c>
      <c r="O14" s="125">
        <f t="shared" si="0"/>
        <v>0</v>
      </c>
      <c r="P14" s="125">
        <f t="shared" si="0"/>
        <v>0</v>
      </c>
      <c r="Q14" s="125">
        <f t="shared" si="0"/>
        <v>0</v>
      </c>
      <c r="R14" s="125">
        <f t="shared" si="0"/>
        <v>4080614.41</v>
      </c>
      <c r="S14" s="125">
        <f t="shared" si="0"/>
        <v>0</v>
      </c>
      <c r="T14" s="125">
        <f t="shared" si="0"/>
        <v>0</v>
      </c>
      <c r="U14" s="125">
        <f t="shared" si="0"/>
        <v>0</v>
      </c>
      <c r="V14" s="125">
        <f t="shared" si="0"/>
        <v>0</v>
      </c>
      <c r="W14" s="125">
        <f t="shared" si="0"/>
        <v>4437546.68</v>
      </c>
      <c r="X14" s="125">
        <f t="shared" si="0"/>
        <v>0</v>
      </c>
      <c r="Y14" s="125">
        <f t="shared" si="0"/>
        <v>0</v>
      </c>
      <c r="Z14" s="125">
        <f t="shared" si="0"/>
        <v>0</v>
      </c>
      <c r="AA14" s="125">
        <f t="shared" si="0"/>
        <v>0</v>
      </c>
      <c r="AB14" s="125">
        <f>+AB13+AB12+AB11</f>
        <v>4353402.4499999993</v>
      </c>
      <c r="AC14" s="125">
        <f>+AC13+AC12+AC11</f>
        <v>4713299.71</v>
      </c>
      <c r="AD14" s="125">
        <v>4236678.97</v>
      </c>
      <c r="AE14" s="125">
        <v>4292541.41</v>
      </c>
      <c r="AF14" s="125">
        <v>4045764.42</v>
      </c>
      <c r="AG14" s="335">
        <f>SUM(AG11:AG13)</f>
        <v>4175513.82</v>
      </c>
      <c r="AH14" s="335">
        <f>SUM(AH11:AH13)</f>
        <v>3916503.2600000002</v>
      </c>
      <c r="AI14" s="335">
        <f>SUM(AI11:AI13)</f>
        <v>4211342.43</v>
      </c>
      <c r="AJ14" s="335"/>
      <c r="AK14" s="335"/>
    </row>
    <row r="15" spans="1:109" s="172" customFormat="1" ht="30">
      <c r="A15" s="273" t="s">
        <v>136</v>
      </c>
      <c r="L15" s="173"/>
      <c r="O15" s="174"/>
      <c r="AC15" s="278"/>
      <c r="AD15" s="278"/>
    </row>
    <row r="16" spans="1:109" ht="15.75" customHeight="1">
      <c r="D16" t="s">
        <v>132</v>
      </c>
      <c r="J16" s="123"/>
      <c r="K16" s="123"/>
      <c r="L16" s="123">
        <f>(+'Company Scorecard'!T3+'Company Scorecard'!O3+'Company Scorecard'!J3)/91</f>
        <v>11463.083406593405</v>
      </c>
      <c r="M16" s="123">
        <f>(+'Company Scorecard'!U3+'Company Scorecard'!O3+'Company Scorecard'!J3)/91</f>
        <v>7105.6787912087912</v>
      </c>
      <c r="N16" s="123">
        <f>(+'Company Scorecard'!V3+'Company Scorecard'!P3+'Company Scorecard'!K3)/91</f>
        <v>0</v>
      </c>
      <c r="O16" s="123">
        <f>(+'Company Scorecard'!W3+'Company Scorecard'!Q3+'Company Scorecard'!L3)/91</f>
        <v>0</v>
      </c>
      <c r="P16" s="123">
        <f>(+'Company Scorecard'!X3+'Company Scorecard'!R3+'Company Scorecard'!M3)/91</f>
        <v>0</v>
      </c>
      <c r="Q16" s="123">
        <f>(+'Company Scorecard'!Y3+'Company Scorecard'!S3+'Company Scorecard'!N3)/91</f>
        <v>0</v>
      </c>
      <c r="R16" s="123">
        <f>(+'Company Scorecard'!Z3+'Company Scorecard'!T3+'Company Scorecard'!O3)/91</f>
        <v>10802.350109890111</v>
      </c>
      <c r="S16" s="123">
        <f>(+'Company Scorecard'!AA3+'Company Scorecard'!V3+'Company Scorecard'!P3)/91</f>
        <v>0</v>
      </c>
      <c r="T16" s="123">
        <f>(+'Company Scorecard'!AB3+'Company Scorecard'!W3+'Company Scorecard'!Q3)/91</f>
        <v>0</v>
      </c>
      <c r="U16" s="123">
        <f>(+'Company Scorecard'!AC3+'Company Scorecard'!X3+'Company Scorecard'!R3)/91</f>
        <v>0</v>
      </c>
      <c r="V16" s="123">
        <f>(+'Company Scorecard'!AD3+'Company Scorecard'!Y3+'Company Scorecard'!S3)/91</f>
        <v>0</v>
      </c>
      <c r="W16" s="123">
        <f>(+'Company Scorecard'!AE3+'Company Scorecard'!Z3+'Company Scorecard'!T3)/91</f>
        <v>9801.3847252747255</v>
      </c>
      <c r="X16" s="123">
        <f>(+'Company Scorecard'!AF3+'Company Scorecard'!AA3+'Company Scorecard'!V3)/91</f>
        <v>0</v>
      </c>
      <c r="Y16" s="123">
        <f>(+'Company Scorecard'!AG3+'Company Scorecard'!AB3+'Company Scorecard'!W3)/91</f>
        <v>0</v>
      </c>
      <c r="Z16" s="123">
        <f>(+'Company Scorecard'!AH3+'Company Scorecard'!AC3+'Company Scorecard'!X3)/91</f>
        <v>0</v>
      </c>
      <c r="AA16" s="123">
        <f>(+'Company Scorecard'!AI3+'Company Scorecard'!AD3+'Company Scorecard'!Y3)/91</f>
        <v>0</v>
      </c>
      <c r="AB16" s="123">
        <f>(+'Company Scorecard'!AJ3+'Company Scorecard'!AE3+'Company Scorecard'!Z3)/91</f>
        <v>7199.2463736263726</v>
      </c>
      <c r="AC16" s="123">
        <f>(+'Company Scorecard'!AE3+'Company Scorecard'!AJ3+'Company Scorecard'!AP3)/92</f>
        <v>5317.8435869565219</v>
      </c>
      <c r="AD16" s="123">
        <f>(+'Company Scorecard'!AJ3+'Company Scorecard'!AP3+'Company Scorecard'!AU3)/92</f>
        <v>3291.5472826086952</v>
      </c>
      <c r="AE16" s="123">
        <f>(+'Company Scorecard'!AP3+'Company Scorecard'!AU3+'Company Scorecard'!AZ3)/92</f>
        <v>2559.2728260869562</v>
      </c>
      <c r="AF16" s="123">
        <f>(+'Company Scorecard'!AU3+'Company Scorecard'!AZ3+'Company Scorecard'!BF3)/92</f>
        <v>3659.3972826086956</v>
      </c>
      <c r="AG16" s="123">
        <f>('Company Scorecard'!$AZ3+'Company Scorecard'!$BF3+'Company Scorecard'!$BK3)/91</f>
        <v>7440.8910989010983</v>
      </c>
      <c r="AH16" s="123">
        <f>('Company Scorecard'!$BF3+'Company Scorecard'!$BK3+'Company Scorecard'!$BQ3)/92</f>
        <v>10642.609891304348</v>
      </c>
      <c r="AI16" s="123">
        <f>('Company Scorecard'!$BK3+'Company Scorecard'!$BQ3+'Company Scorecard'!$BV3)/92</f>
        <v>12088.266413043479</v>
      </c>
      <c r="AJ16" s="123">
        <f>('Company Scorecard'!$CA3+'Company Scorecard'!$BQ3+'Company Scorecard'!$BV3)/90</f>
        <v>11538.635555555555</v>
      </c>
      <c r="AK16" s="123">
        <f>('Company Scorecard'!$BV3+'Company Scorecard'!$CA3+'Company Scorecard'!$CF3)/90</f>
        <v>9436.7133333333331</v>
      </c>
    </row>
    <row r="17" spans="1:37">
      <c r="B17" t="s">
        <v>137</v>
      </c>
      <c r="D17" t="s">
        <v>133</v>
      </c>
      <c r="L17" s="123">
        <f>(+'Company Scorecard'!T4+'Company Scorecard'!O4+'Company Scorecard'!J4)/91</f>
        <v>9098.6573626373629</v>
      </c>
      <c r="M17" s="123">
        <f>(+'Company Scorecard'!U4+'Company Scorecard'!O4+'Company Scorecard'!J4)/91</f>
        <v>5880.4045054945063</v>
      </c>
      <c r="N17" s="123">
        <f>(+'Company Scorecard'!V4+'Company Scorecard'!P4+'Company Scorecard'!K4)/91</f>
        <v>0</v>
      </c>
      <c r="O17" s="123">
        <f>(+'Company Scorecard'!W4+'Company Scorecard'!Q4+'Company Scorecard'!L4)/91</f>
        <v>0</v>
      </c>
      <c r="P17" s="123">
        <f>(+'Company Scorecard'!X4+'Company Scorecard'!R4+'Company Scorecard'!M4)/91</f>
        <v>0</v>
      </c>
      <c r="Q17" s="123">
        <f>(+'Company Scorecard'!Y4+'Company Scorecard'!S4+'Company Scorecard'!N4)/91</f>
        <v>0</v>
      </c>
      <c r="R17" s="123">
        <f>(+'Company Scorecard'!Z4+'Company Scorecard'!T4+'Company Scorecard'!O4)/91</f>
        <v>10164.90153846154</v>
      </c>
      <c r="S17" s="123">
        <f>(+'Company Scorecard'!AA4+'Company Scorecard'!V4+'Company Scorecard'!P4)/91</f>
        <v>0</v>
      </c>
      <c r="T17" s="123">
        <f>(+'Company Scorecard'!AB4+'Company Scorecard'!W4+'Company Scorecard'!Q4)/91</f>
        <v>0</v>
      </c>
      <c r="U17" s="123">
        <f>(+'Company Scorecard'!AC4+'Company Scorecard'!X4+'Company Scorecard'!R4)/91</f>
        <v>0</v>
      </c>
      <c r="V17" s="123">
        <f>(+'Company Scorecard'!AD4+'Company Scorecard'!Y4+'Company Scorecard'!S4)/91</f>
        <v>0</v>
      </c>
      <c r="W17" s="123">
        <f>(+'Company Scorecard'!AE4+'Company Scorecard'!Z4+'Company Scorecard'!T4)/91</f>
        <v>13065.673186813186</v>
      </c>
      <c r="AB17" s="123">
        <f>(+'Company Scorecard'!AJ4+'Company Scorecard'!AE4+'Company Scorecard'!Z4)/91</f>
        <v>15273.042417582416</v>
      </c>
      <c r="AC17" s="123">
        <f>(+'Company Scorecard'!AE4+'Company Scorecard'!AJ4+'Company Scorecard'!AP4)/92</f>
        <v>16620.08815217391</v>
      </c>
      <c r="AD17" s="123">
        <f>(+'Company Scorecard'!AJ4+'Company Scorecard'!AP4+'Company Scorecard'!AU4)/92</f>
        <v>15983.732065217393</v>
      </c>
      <c r="AE17" s="123">
        <f>(+'Company Scorecard'!AP4+'Company Scorecard'!AU4+'Company Scorecard'!AZ4)/92</f>
        <v>15763.811956521738</v>
      </c>
      <c r="AF17" s="123">
        <f>(+'Company Scorecard'!AU4+'Company Scorecard'!AZ4+'Company Scorecard'!BF4)/92</f>
        <v>14115.921956521737</v>
      </c>
      <c r="AG17" s="123">
        <f>('Company Scorecard'!$AZ4+'Company Scorecard'!$BF4+'Company Scorecard'!$BK4)/91</f>
        <v>12322.036923076925</v>
      </c>
      <c r="AH17" s="123">
        <f>('Company Scorecard'!$BF4+'Company Scorecard'!$BK4+'Company Scorecard'!$BQ4)/92</f>
        <v>9745.0586956521747</v>
      </c>
      <c r="AI17" s="123">
        <f>('Company Scorecard'!$BK4+'Company Scorecard'!$BQ4+'Company Scorecard'!$BV4)/92</f>
        <v>7992.6542391304356</v>
      </c>
      <c r="AJ17" s="123">
        <f>('Company Scorecard'!$CA4+'Company Scorecard'!$BQ4+'Company Scorecard'!$BV4)/90</f>
        <v>8125.8958888888892</v>
      </c>
      <c r="AK17" s="123">
        <f>('Company Scorecard'!$BV4+'Company Scorecard'!$CA4+'Company Scorecard'!$CF4)/90</f>
        <v>9924.8403333333335</v>
      </c>
    </row>
    <row r="18" spans="1:37">
      <c r="D18" t="s">
        <v>134</v>
      </c>
      <c r="L18" s="123">
        <f>(+'Company Scorecard'!T5+'Company Scorecard'!O5+'Company Scorecard'!J5)/91</f>
        <v>46850.313296703294</v>
      </c>
      <c r="M18" s="123">
        <f>(+'Company Scorecard'!U5+'Company Scorecard'!O5+'Company Scorecard'!J5)/91</f>
        <v>29521.231538461543</v>
      </c>
      <c r="N18" s="123">
        <f>(+'Company Scorecard'!V5+'Company Scorecard'!P5+'Company Scorecard'!K5)/91</f>
        <v>0</v>
      </c>
      <c r="O18" s="123">
        <f>(+'Company Scorecard'!W5+'Company Scorecard'!Q5+'Company Scorecard'!L5)/91</f>
        <v>0</v>
      </c>
      <c r="P18" s="123">
        <f>(+'Company Scorecard'!X5+'Company Scorecard'!R5+'Company Scorecard'!M5)/91</f>
        <v>0</v>
      </c>
      <c r="Q18" s="123">
        <f>(+'Company Scorecard'!Y5+'Company Scorecard'!S5+'Company Scorecard'!N5)/91</f>
        <v>0</v>
      </c>
      <c r="R18" s="123">
        <f>(+'Company Scorecard'!Z5+'Company Scorecard'!T5+'Company Scorecard'!O5)/91</f>
        <v>48482.405934065937</v>
      </c>
      <c r="S18" s="123">
        <f>(+'Company Scorecard'!AA5+'Company Scorecard'!V5+'Company Scorecard'!P5)/91</f>
        <v>0</v>
      </c>
      <c r="T18" s="123">
        <f>(+'Company Scorecard'!AB5+'Company Scorecard'!W5+'Company Scorecard'!Q5)/91</f>
        <v>0</v>
      </c>
      <c r="U18" s="123">
        <f>(+'Company Scorecard'!AC5+'Company Scorecard'!X5+'Company Scorecard'!R5)/91</f>
        <v>0</v>
      </c>
      <c r="V18" s="123">
        <f>(+'Company Scorecard'!AD5+'Company Scorecard'!Y5+'Company Scorecard'!S5)/91</f>
        <v>0</v>
      </c>
      <c r="W18" s="123">
        <f>(+'Company Scorecard'!AE5+'Company Scorecard'!Z5+'Company Scorecard'!T5)/91</f>
        <v>52406.441538461535</v>
      </c>
      <c r="AB18" s="123">
        <f>(+'Company Scorecard'!AJ5+'Company Scorecard'!AE5+'Company Scorecard'!Z5)/91</f>
        <v>53930.256813186817</v>
      </c>
      <c r="AC18" s="123">
        <f>(+'Company Scorecard'!AE5+'Company Scorecard'!AJ5+'Company Scorecard'!AP5)/92</f>
        <v>56053.951390217393</v>
      </c>
      <c r="AD18" s="123">
        <f>(+'Company Scorecard'!AJ5+'Company Scorecard'!AP5+'Company Scorecard'!AU5)/92</f>
        <v>58442.599759782606</v>
      </c>
      <c r="AE18" s="123">
        <f>(+'Company Scorecard'!AP5+'Company Scorecard'!AU5+'Company Scorecard'!AZ5)/92</f>
        <v>58693.28312934783</v>
      </c>
      <c r="AF18" s="123">
        <f>(+'Company Scorecard'!AU5+'Company Scorecard'!AZ5+'Company Scorecard'!BF5)/92</f>
        <v>58413.345760869561</v>
      </c>
      <c r="AG18" s="123">
        <f>('Company Scorecard'!$AZ5+'Company Scorecard'!$BF5+'Company Scorecard'!$BK5)/91</f>
        <v>57032.554505494503</v>
      </c>
      <c r="AH18" s="123">
        <f>('Company Scorecard'!$BF5+'Company Scorecard'!$BK5+'Company Scorecard'!$BQ5)/92</f>
        <v>57104.477826086957</v>
      </c>
      <c r="AI18" s="123">
        <f>('Company Scorecard'!$BK5+'Company Scorecard'!$BQ5+'Company Scorecard'!$BV5)/92</f>
        <v>57452.756847826087</v>
      </c>
      <c r="AJ18" s="123">
        <f>('Company Scorecard'!$CA5+'Company Scorecard'!$BQ5+'Company Scorecard'!$BV5)/90</f>
        <v>58081.150999999998</v>
      </c>
      <c r="AK18" s="123">
        <f>('Company Scorecard'!$BV5+'Company Scorecard'!$CA5+'Company Scorecard'!$CF5)/90</f>
        <v>58118.917666666668</v>
      </c>
    </row>
    <row r="19" spans="1:37">
      <c r="B19" t="s">
        <v>138</v>
      </c>
      <c r="L19" s="123">
        <f>(+'Company Scorecard'!T6+'Company Scorecard'!O6+'Company Scorecard'!J6)/91</f>
        <v>67412.054065934062</v>
      </c>
      <c r="M19" s="123">
        <f>(+'Company Scorecard'!U6+'Company Scorecard'!O6+'Company Scorecard'!J6)/91</f>
        <v>42507.314835164834</v>
      </c>
      <c r="N19" s="123">
        <f>(+'Company Scorecard'!V6+'Company Scorecard'!P6+'Company Scorecard'!K6)/91</f>
        <v>0</v>
      </c>
      <c r="O19" s="123">
        <f>(+'Company Scorecard'!W6+'Company Scorecard'!Q6+'Company Scorecard'!L6)/91</f>
        <v>0</v>
      </c>
      <c r="P19" s="123">
        <f>(+'Company Scorecard'!X6+'Company Scorecard'!R6+'Company Scorecard'!M6)/91</f>
        <v>0</v>
      </c>
      <c r="Q19" s="123">
        <f>(+'Company Scorecard'!Y6+'Company Scorecard'!S6+'Company Scorecard'!N6)/91</f>
        <v>0</v>
      </c>
      <c r="R19" s="123">
        <f>(+'Company Scorecard'!Z6+'Company Scorecard'!T6+'Company Scorecard'!O6)/91</f>
        <v>69449.657582417582</v>
      </c>
      <c r="S19" s="123">
        <f>(+'Company Scorecard'!AA6+'Company Scorecard'!V6+'Company Scorecard'!P6)/91</f>
        <v>0</v>
      </c>
      <c r="T19" s="123">
        <f>(+'Company Scorecard'!AB6+'Company Scorecard'!W6+'Company Scorecard'!Q6)/91</f>
        <v>0</v>
      </c>
      <c r="U19" s="123">
        <f>(+'Company Scorecard'!AC6+'Company Scorecard'!X6+'Company Scorecard'!R6)/91</f>
        <v>0</v>
      </c>
      <c r="V19" s="123">
        <f>(+'Company Scorecard'!AD6+'Company Scorecard'!Y6+'Company Scorecard'!S6)/91</f>
        <v>0</v>
      </c>
      <c r="W19" s="123">
        <f>(+'Company Scorecard'!AE6+'Company Scorecard'!Z6+'Company Scorecard'!T6)/91</f>
        <v>75273.49945054944</v>
      </c>
      <c r="AB19" s="123">
        <f>(+'Company Scorecard'!AJ6+'Company Scorecard'!AE6+'Company Scorecard'!Z6)/91</f>
        <v>76402.545604395607</v>
      </c>
      <c r="AC19" s="123">
        <f>(+'Company Scorecard'!AE6+'Company Scorecard'!AJ6+'Company Scorecard'!AP6)/92</f>
        <v>77991.883129347829</v>
      </c>
      <c r="AD19" s="123">
        <f>(+'Company Scorecard'!AJ6+'Company Scorecard'!AP6+'Company Scorecard'!AU6)/92</f>
        <v>77717.879107608693</v>
      </c>
      <c r="AE19" s="123">
        <f>+AE18+AE17+AE16</f>
        <v>77016.367911956535</v>
      </c>
      <c r="AF19" s="123">
        <f>+AF18+AF17+AF16</f>
        <v>76188.664999999994</v>
      </c>
      <c r="AG19" s="123">
        <f>+AG18+AG17+AG16</f>
        <v>76795.482527472515</v>
      </c>
      <c r="AH19" s="123">
        <f>+AH18+AH17+AH16</f>
        <v>77492.146413043491</v>
      </c>
      <c r="AI19" s="123">
        <f>+AI18+AI17+AI16</f>
        <v>77533.677499999991</v>
      </c>
      <c r="AJ19" s="123">
        <f>('Company Scorecard'!$CA6+'Company Scorecard'!$BQ6+'Company Scorecard'!$BV6)/90</f>
        <v>77745.68244444445</v>
      </c>
      <c r="AK19" s="123">
        <f>('Company Scorecard'!$BV6+'Company Scorecard'!$CA6+'Company Scorecard'!$CF6)/90</f>
        <v>77480.471333333335</v>
      </c>
    </row>
    <row r="20" spans="1:37">
      <c r="A20" s="273" t="s">
        <v>139</v>
      </c>
      <c r="B20" s="172"/>
      <c r="C20" s="172"/>
      <c r="D20" s="172"/>
      <c r="E20" s="172"/>
      <c r="F20" s="172"/>
      <c r="G20" s="172"/>
      <c r="H20" s="172"/>
      <c r="I20" s="172"/>
      <c r="J20" s="172"/>
      <c r="K20" s="172"/>
      <c r="L20" s="173"/>
      <c r="M20" s="172"/>
      <c r="N20" s="172"/>
      <c r="O20" s="174"/>
      <c r="P20" s="172"/>
      <c r="Q20" s="172"/>
      <c r="R20" s="172"/>
      <c r="S20" s="172"/>
      <c r="T20" s="172"/>
      <c r="U20" s="172"/>
      <c r="V20" s="172"/>
      <c r="W20" s="172"/>
      <c r="X20" s="172"/>
      <c r="Y20" s="172"/>
      <c r="Z20" s="172"/>
      <c r="AA20" s="172"/>
      <c r="AB20" s="172"/>
      <c r="AC20" s="172"/>
      <c r="AD20" s="172"/>
      <c r="AE20" s="172"/>
      <c r="AF20" s="172"/>
      <c r="AG20" s="172"/>
      <c r="AH20" s="172"/>
      <c r="AI20" s="172"/>
      <c r="AJ20" s="172"/>
      <c r="AK20" s="172"/>
    </row>
    <row r="21" spans="1:37">
      <c r="D21" t="s">
        <v>132</v>
      </c>
      <c r="L21" s="123">
        <f t="shared" ref="L21:AA21" si="1">+L11/L16</f>
        <v>55.526853240367153</v>
      </c>
      <c r="M21" s="123">
        <f t="shared" si="1"/>
        <v>0</v>
      </c>
      <c r="N21" s="123" t="e">
        <f t="shared" si="1"/>
        <v>#DIV/0!</v>
      </c>
      <c r="O21" s="123" t="e">
        <f t="shared" si="1"/>
        <v>#DIV/0!</v>
      </c>
      <c r="P21" s="123" t="e">
        <f t="shared" si="1"/>
        <v>#DIV/0!</v>
      </c>
      <c r="Q21" s="123" t="e">
        <f t="shared" si="1"/>
        <v>#DIV/0!</v>
      </c>
      <c r="R21" s="123">
        <f t="shared" si="1"/>
        <v>54.728046581154004</v>
      </c>
      <c r="S21" s="123" t="e">
        <f t="shared" si="1"/>
        <v>#DIV/0!</v>
      </c>
      <c r="T21" s="123" t="e">
        <f t="shared" si="1"/>
        <v>#DIV/0!</v>
      </c>
      <c r="U21" s="123" t="e">
        <f t="shared" si="1"/>
        <v>#DIV/0!</v>
      </c>
      <c r="V21" s="123" t="e">
        <f t="shared" si="1"/>
        <v>#DIV/0!</v>
      </c>
      <c r="W21" s="123">
        <f t="shared" si="1"/>
        <v>54.576947542991824</v>
      </c>
      <c r="X21" s="123" t="e">
        <f t="shared" si="1"/>
        <v>#DIV/0!</v>
      </c>
      <c r="Y21" s="123" t="e">
        <f t="shared" si="1"/>
        <v>#DIV/0!</v>
      </c>
      <c r="Z21" s="123" t="e">
        <f t="shared" si="1"/>
        <v>#DIV/0!</v>
      </c>
      <c r="AA21" s="123" t="e">
        <f t="shared" si="1"/>
        <v>#DIV/0!</v>
      </c>
      <c r="AB21" s="123">
        <f>+AB11/AB16</f>
        <v>56.614660597411138</v>
      </c>
      <c r="AC21" s="123">
        <f>+AC11/AC16</f>
        <v>66.210523916802586</v>
      </c>
      <c r="AD21" s="123">
        <f>+AD11/AD16</f>
        <v>66.561103696606281</v>
      </c>
      <c r="AE21" s="123">
        <f>+AE11/AE16</f>
        <v>75.933690233851252</v>
      </c>
      <c r="AF21" s="123">
        <f>+AF11/AF16</f>
        <v>88.376263910174089</v>
      </c>
      <c r="AG21" s="123">
        <f t="shared" ref="AG21:AI21" si="2">+AG11/AG16</f>
        <v>70.724823546701231</v>
      </c>
      <c r="AH21" s="123">
        <f t="shared" si="2"/>
        <v>63.680625046093674</v>
      </c>
      <c r="AI21" s="123">
        <f t="shared" si="2"/>
        <v>55.892083026146146</v>
      </c>
      <c r="AJ21" s="123">
        <f>+AJ11/AJ16</f>
        <v>0</v>
      </c>
      <c r="AK21" s="123">
        <f t="shared" ref="AK21" si="3">+AK11/AK16</f>
        <v>0</v>
      </c>
    </row>
    <row r="22" spans="1:37">
      <c r="D22" t="s">
        <v>133</v>
      </c>
      <c r="L22" s="123">
        <f t="shared" ref="L22:W22" si="4">+L12/L17</f>
        <v>60.940770478610155</v>
      </c>
      <c r="M22" s="123">
        <f t="shared" si="4"/>
        <v>0</v>
      </c>
      <c r="N22" s="123" t="e">
        <f t="shared" si="4"/>
        <v>#DIV/0!</v>
      </c>
      <c r="O22" s="123" t="e">
        <f t="shared" si="4"/>
        <v>#DIV/0!</v>
      </c>
      <c r="P22" s="123" t="e">
        <f t="shared" si="4"/>
        <v>#DIV/0!</v>
      </c>
      <c r="Q22" s="123" t="e">
        <f t="shared" si="4"/>
        <v>#DIV/0!</v>
      </c>
      <c r="R22" s="123">
        <f t="shared" si="4"/>
        <v>65.756210964849487</v>
      </c>
      <c r="S22" s="123" t="e">
        <f t="shared" si="4"/>
        <v>#DIV/0!</v>
      </c>
      <c r="T22" s="123" t="e">
        <f t="shared" si="4"/>
        <v>#DIV/0!</v>
      </c>
      <c r="U22" s="123" t="e">
        <f t="shared" si="4"/>
        <v>#DIV/0!</v>
      </c>
      <c r="V22" s="123" t="e">
        <f t="shared" si="4"/>
        <v>#DIV/0!</v>
      </c>
      <c r="W22" s="123">
        <f t="shared" si="4"/>
        <v>78.629158659568191</v>
      </c>
      <c r="AB22" s="123">
        <f t="shared" ref="AB22:AC24" si="5">+AB12/AB17</f>
        <v>69.628295458393168</v>
      </c>
      <c r="AC22" s="123">
        <f t="shared" si="5"/>
        <v>76.049605057881408</v>
      </c>
      <c r="AD22" s="123">
        <f t="shared" ref="AD22:AE22" si="6">+AD12/AD17</f>
        <v>66.351949324018875</v>
      </c>
      <c r="AE22" s="123">
        <f t="shared" si="6"/>
        <v>60.275997494812522</v>
      </c>
      <c r="AF22" s="123">
        <f t="shared" ref="AF22:AI22" si="7">+AF12/AF17</f>
        <v>58.291926133796409</v>
      </c>
      <c r="AG22" s="123">
        <f t="shared" si="7"/>
        <v>45.749230709108524</v>
      </c>
      <c r="AH22" s="123">
        <f t="shared" si="7"/>
        <v>54.250899508268063</v>
      </c>
      <c r="AI22" s="123">
        <f t="shared" si="7"/>
        <v>56.844524535497733</v>
      </c>
      <c r="AJ22" s="123">
        <f t="shared" ref="AJ22:AK22" si="8">+AJ12/AJ17</f>
        <v>0</v>
      </c>
      <c r="AK22" s="123">
        <f t="shared" si="8"/>
        <v>0</v>
      </c>
    </row>
    <row r="23" spans="1:37">
      <c r="D23" t="s">
        <v>134</v>
      </c>
      <c r="L23" s="123">
        <f t="shared" ref="L23:W23" si="9">+L13/L18</f>
        <v>62.544747810815416</v>
      </c>
      <c r="M23" s="123">
        <f t="shared" si="9"/>
        <v>0</v>
      </c>
      <c r="N23" s="123" t="e">
        <f t="shared" si="9"/>
        <v>#DIV/0!</v>
      </c>
      <c r="O23" s="123" t="e">
        <f t="shared" si="9"/>
        <v>#DIV/0!</v>
      </c>
      <c r="P23" s="123" t="e">
        <f t="shared" si="9"/>
        <v>#DIV/0!</v>
      </c>
      <c r="Q23" s="123" t="e">
        <f t="shared" si="9"/>
        <v>#DIV/0!</v>
      </c>
      <c r="R23" s="123">
        <f t="shared" si="9"/>
        <v>58.186416817607338</v>
      </c>
      <c r="S23" s="123" t="e">
        <f t="shared" si="9"/>
        <v>#DIV/0!</v>
      </c>
      <c r="T23" s="123" t="e">
        <f t="shared" si="9"/>
        <v>#DIV/0!</v>
      </c>
      <c r="U23" s="123" t="e">
        <f t="shared" si="9"/>
        <v>#DIV/0!</v>
      </c>
      <c r="V23" s="123" t="e">
        <f t="shared" si="9"/>
        <v>#DIV/0!</v>
      </c>
      <c r="W23" s="123">
        <f t="shared" si="9"/>
        <v>54.864899153471654</v>
      </c>
      <c r="AB23" s="123">
        <f t="shared" si="5"/>
        <v>53.446503323440702</v>
      </c>
      <c r="AC23" s="123">
        <f t="shared" si="5"/>
        <v>55.254826523086756</v>
      </c>
      <c r="AD23" s="123">
        <f t="shared" ref="AD23:AE23" si="10">+AD13/AD18</f>
        <v>50.597307138189493</v>
      </c>
      <c r="AE23" s="123">
        <f t="shared" si="10"/>
        <v>53.635215516269575</v>
      </c>
      <c r="AF23" s="123">
        <f t="shared" ref="AF23:AI23" si="11">+AF13/AF18</f>
        <v>49.637907951205783</v>
      </c>
      <c r="AG23" s="123">
        <f t="shared" si="11"/>
        <v>54.101283499457146</v>
      </c>
      <c r="AH23" s="123">
        <f t="shared" si="11"/>
        <v>47.458572657886215</v>
      </c>
      <c r="AI23" s="123">
        <f t="shared" si="11"/>
        <v>53.633029624001303</v>
      </c>
      <c r="AJ23" s="123">
        <f t="shared" ref="AJ23:AK23" si="12">+AJ13/AJ18</f>
        <v>0</v>
      </c>
      <c r="AK23" s="123">
        <f t="shared" si="12"/>
        <v>0</v>
      </c>
    </row>
    <row r="24" spans="1:37">
      <c r="B24" t="s">
        <v>140</v>
      </c>
      <c r="L24" s="123">
        <f t="shared" ref="L24:W24" si="13">+L14/L19</f>
        <v>61.134899790609076</v>
      </c>
      <c r="M24" s="123">
        <f t="shared" si="13"/>
        <v>0</v>
      </c>
      <c r="N24" s="123" t="e">
        <f t="shared" si="13"/>
        <v>#DIV/0!</v>
      </c>
      <c r="O24" s="123" t="e">
        <f t="shared" si="13"/>
        <v>#DIV/0!</v>
      </c>
      <c r="P24" s="123" t="e">
        <f t="shared" si="13"/>
        <v>#DIV/0!</v>
      </c>
      <c r="Q24" s="123" t="e">
        <f t="shared" si="13"/>
        <v>#DIV/0!</v>
      </c>
      <c r="R24" s="123">
        <f t="shared" si="13"/>
        <v>58.756436706076435</v>
      </c>
      <c r="S24" s="123" t="e">
        <f t="shared" si="13"/>
        <v>#DIV/0!</v>
      </c>
      <c r="T24" s="123" t="e">
        <f t="shared" si="13"/>
        <v>#DIV/0!</v>
      </c>
      <c r="U24" s="123" t="e">
        <f t="shared" si="13"/>
        <v>#DIV/0!</v>
      </c>
      <c r="V24" s="123" t="e">
        <f t="shared" si="13"/>
        <v>#DIV/0!</v>
      </c>
      <c r="W24" s="123">
        <f t="shared" si="13"/>
        <v>58.952310074480124</v>
      </c>
      <c r="AB24" s="123">
        <f t="shared" si="5"/>
        <v>56.979808926020105</v>
      </c>
      <c r="AC24" s="123">
        <f t="shared" si="5"/>
        <v>60.433208186332621</v>
      </c>
      <c r="AD24" s="123">
        <f t="shared" ref="AD24:AE24" si="14">+AD14/AD19</f>
        <v>54.513569060908956</v>
      </c>
      <c r="AE24" s="123">
        <f t="shared" si="14"/>
        <v>55.735443339877335</v>
      </c>
      <c r="AF24" s="123">
        <f t="shared" ref="AF24:AI24" si="15">+AF14/AF19</f>
        <v>53.101920344712696</v>
      </c>
      <c r="AG24" s="123">
        <f t="shared" si="15"/>
        <v>54.371867752849496</v>
      </c>
      <c r="AH24" s="123">
        <f t="shared" si="15"/>
        <v>50.540647553166416</v>
      </c>
      <c r="AI24" s="123">
        <f t="shared" si="15"/>
        <v>54.316299262343129</v>
      </c>
      <c r="AJ24" s="123">
        <f t="shared" ref="AJ24:AK24" si="16">+AJ14/AJ19</f>
        <v>0</v>
      </c>
      <c r="AK24" s="123">
        <f t="shared" si="16"/>
        <v>0</v>
      </c>
    </row>
    <row r="25" spans="1:37" s="172" customFormat="1">
      <c r="A25" s="171" t="s">
        <v>141</v>
      </c>
      <c r="L25" s="173"/>
      <c r="O25" s="174"/>
      <c r="AC25" s="278"/>
      <c r="AD25" s="278"/>
    </row>
    <row r="26" spans="1:37">
      <c r="A26" s="9" t="s">
        <v>142</v>
      </c>
      <c r="O26" s="140" t="e">
        <f>SUM(#REF!)</f>
        <v>#REF!</v>
      </c>
      <c r="R26" s="127">
        <v>1291733.3500000001</v>
      </c>
      <c r="S26" s="125"/>
      <c r="T26" s="125"/>
      <c r="U26" s="125"/>
      <c r="V26" s="125"/>
      <c r="W26" s="127">
        <v>762873.47</v>
      </c>
      <c r="X26" s="125"/>
      <c r="Y26" s="125"/>
      <c r="Z26" s="125"/>
      <c r="AA26" s="125"/>
      <c r="AB26" s="127">
        <v>492383.47</v>
      </c>
      <c r="AC26" s="127">
        <v>670034.84</v>
      </c>
      <c r="AD26" s="127">
        <v>815587.18</v>
      </c>
      <c r="AE26" s="127">
        <v>712256.58</v>
      </c>
      <c r="AF26" s="127">
        <v>593993.9</v>
      </c>
      <c r="AG26" s="127">
        <v>572966.31999999995</v>
      </c>
      <c r="AH26" s="127">
        <v>487109.78</v>
      </c>
      <c r="AI26" s="127">
        <v>362561.16</v>
      </c>
      <c r="AJ26" s="127"/>
      <c r="AK26" s="127"/>
    </row>
    <row r="27" spans="1:37" s="172" customFormat="1" hidden="1">
      <c r="A27" s="171" t="s">
        <v>143</v>
      </c>
      <c r="L27" s="173"/>
      <c r="O27" s="174"/>
    </row>
    <row r="28" spans="1:37" hidden="1">
      <c r="D28" t="s">
        <v>144</v>
      </c>
      <c r="AC28" s="321">
        <f>234725/('Company Scorecard'!AV83+'Company Scorecard'!AV84)</f>
        <v>11071.933962264151</v>
      </c>
      <c r="AD28" s="321">
        <f>92360/('Company Scorecard'!AV83+AV90)</f>
        <v>11430.69306930693</v>
      </c>
      <c r="AE28" s="321" t="e">
        <f>92360/('Company Scorecard'!AW83+AW90)</f>
        <v>#DIV/0!</v>
      </c>
      <c r="AF28" s="321">
        <f>92360/('Company Scorecard'!AX83+AX90)</f>
        <v>11388.409371146734</v>
      </c>
      <c r="AG28" s="321" t="e">
        <f>92360/('Company Scorecard'!AY83+AY90)</f>
        <v>#DIV/0!</v>
      </c>
      <c r="AH28" s="321" t="e">
        <f>92360/('Company Scorecard'!AZ83+AZ90)</f>
        <v>#DIV/0!</v>
      </c>
      <c r="AI28" s="321">
        <f>92360/('Company Scorecard'!BA83+BA90)</f>
        <v>10853.113983548767</v>
      </c>
      <c r="AJ28" s="321" t="e">
        <f>92360/('Company Scorecard'!BB83+BB90)</f>
        <v>#DIV/0!</v>
      </c>
      <c r="AK28" s="321">
        <f>92360/('Company Scorecard'!BC83+BC90)</f>
        <v>12216.931216931218</v>
      </c>
    </row>
    <row r="29" spans="1:37" hidden="1">
      <c r="D29" t="s">
        <v>134</v>
      </c>
      <c r="AC29" s="321">
        <f>799543/'Company Scorecard'!AV85</f>
        <v>14156.214589235129</v>
      </c>
      <c r="AD29" s="321">
        <f>733800/'Company Scorecard'!AV85</f>
        <v>12992.209631728047</v>
      </c>
      <c r="AE29" s="321" t="e">
        <f>733800/'Company Scorecard'!AW85</f>
        <v>#DIV/0!</v>
      </c>
      <c r="AF29" s="321">
        <f>733800/'Company Scorecard'!AX85</f>
        <v>13136.41245972073</v>
      </c>
      <c r="AG29" s="321" t="e">
        <f>733800/'Company Scorecard'!AY85</f>
        <v>#DIV/0!</v>
      </c>
      <c r="AH29" s="321" t="e">
        <f>733800/'Company Scorecard'!AZ85</f>
        <v>#DIV/0!</v>
      </c>
      <c r="AI29" s="321">
        <f>733800/'Company Scorecard'!BA85</f>
        <v>13889.835320840431</v>
      </c>
      <c r="AJ29" s="321" t="e">
        <f>733800/'Company Scorecard'!BB85</f>
        <v>#DIV/0!</v>
      </c>
      <c r="AK29" s="321">
        <f>733800/'Company Scorecard'!BC85</f>
        <v>14171.494785631518</v>
      </c>
    </row>
    <row r="30" spans="1:37" s="305" customFormat="1">
      <c r="A30" s="302" t="s">
        <v>145</v>
      </c>
      <c r="B30" s="303"/>
      <c r="C30" s="304"/>
      <c r="D30" s="303"/>
      <c r="E30" s="302" t="s">
        <v>145</v>
      </c>
      <c r="F30" s="303"/>
      <c r="G30" s="304"/>
      <c r="H30" s="303"/>
      <c r="I30" s="302" t="s">
        <v>145</v>
      </c>
      <c r="J30" s="303"/>
      <c r="K30" s="304"/>
      <c r="L30" s="303"/>
      <c r="M30" s="302" t="s">
        <v>145</v>
      </c>
      <c r="N30" s="303"/>
      <c r="O30" s="304"/>
      <c r="P30" s="303"/>
      <c r="Q30" s="302" t="s">
        <v>145</v>
      </c>
      <c r="R30" s="303"/>
      <c r="S30" s="304"/>
      <c r="T30" s="303"/>
      <c r="U30" s="302" t="s">
        <v>145</v>
      </c>
      <c r="V30" s="303"/>
      <c r="W30" s="304"/>
      <c r="X30" s="303"/>
      <c r="Y30" s="302" t="s">
        <v>145</v>
      </c>
      <c r="Z30" s="303"/>
      <c r="AA30" s="304"/>
      <c r="AB30" s="303"/>
      <c r="AC30" s="302"/>
      <c r="AD30" s="303"/>
      <c r="AE30" s="304"/>
      <c r="AF30" s="303"/>
      <c r="AG30" s="302"/>
      <c r="AH30" s="302"/>
      <c r="AI30" s="302"/>
      <c r="AJ30" s="302"/>
      <c r="AK30" s="302"/>
    </row>
    <row r="31" spans="1:37">
      <c r="A31" s="282"/>
      <c r="B31" s="9"/>
      <c r="C31" s="34" t="s">
        <v>146</v>
      </c>
      <c r="D31" s="9" t="s">
        <v>147</v>
      </c>
      <c r="J31" s="242">
        <f>-12476.4/405942.08</f>
        <v>-3.0734433838443157E-2</v>
      </c>
      <c r="K31" s="242">
        <f>-7430.66/333582.79</f>
        <v>-2.2275309826385228E-2</v>
      </c>
      <c r="L31" s="242">
        <f>12802.58/395983.97</f>
        <v>3.2331056229372115E-2</v>
      </c>
      <c r="R31" s="242">
        <f>-3775.24/293987.28</f>
        <v>-1.2841507972725893E-2</v>
      </c>
      <c r="W31" s="244">
        <f>1745.86/218766.01</f>
        <v>7.9804902050368779E-3</v>
      </c>
      <c r="AB31" s="244">
        <f>7162.87/167815.72</f>
        <v>4.2682950083579772E-2</v>
      </c>
      <c r="AC31" s="244">
        <f>538.99/146193.91</f>
        <v>3.6868156819938667E-3</v>
      </c>
      <c r="AD31" s="244">
        <f>-2666.26/122385.41</f>
        <v>-2.1785766783802091E-2</v>
      </c>
      <c r="AE31" s="244">
        <f>-133.72/111138.58</f>
        <v>-1.2031825492101842E-3</v>
      </c>
      <c r="AF31" s="244">
        <f>-1008.78/244155.56</f>
        <v>-4.1317101277562546E-3</v>
      </c>
      <c r="AG31" s="244">
        <f>3491.53/381600.66</f>
        <v>9.1496959150961649E-3</v>
      </c>
      <c r="AH31" s="244">
        <f>2657.99/417354.81</f>
        <v>6.3686578812881057E-3</v>
      </c>
      <c r="AI31" s="244">
        <f>-1901.95/370141.67</f>
        <v>-5.1384379391815034E-3</v>
      </c>
      <c r="AJ31" s="244">
        <f>-4764.45/314543.91</f>
        <v>-1.514716975445495E-2</v>
      </c>
      <c r="AK31" s="244">
        <f>2688.93/213295.97</f>
        <v>1.2606567297075514E-2</v>
      </c>
    </row>
    <row r="32" spans="1:37">
      <c r="A32" s="282"/>
      <c r="B32" s="9"/>
      <c r="C32" s="34" t="s">
        <v>68</v>
      </c>
      <c r="D32" s="9" t="s">
        <v>148</v>
      </c>
      <c r="J32" s="242">
        <f>-859.24/302225.63</f>
        <v>-2.8430414720286958E-3</v>
      </c>
      <c r="K32" s="242">
        <f>-199.97/286076.41</f>
        <v>-6.9900905146285926E-4</v>
      </c>
      <c r="L32" s="242">
        <f>4720.8/297197.58</f>
        <v>1.588438236946613E-2</v>
      </c>
      <c r="R32" s="242">
        <f>-2823.85/393502.24</f>
        <v>-7.1761980312996443E-3</v>
      </c>
      <c r="W32" s="244">
        <f>3391.25/529760.55</f>
        <v>6.4014770446761274E-3</v>
      </c>
      <c r="AB32" s="244">
        <f>12063/496938.66</f>
        <v>2.4274625765683032E-2</v>
      </c>
      <c r="AC32" s="244">
        <f>1733.64/555221.24</f>
        <v>3.1224309790453984E-3</v>
      </c>
      <c r="AD32" s="244">
        <f>16581.44/566861.85</f>
        <v>2.925128935736282E-2</v>
      </c>
      <c r="AE32" s="244">
        <f>8104.51/511348.77</f>
        <v>1.5849280325833187E-2</v>
      </c>
      <c r="AF32" s="244">
        <f>4567.51/409327.98</f>
        <v>1.1158557985701345E-2</v>
      </c>
      <c r="AG32" s="244">
        <f>6868.75/298765.44</f>
        <v>2.2990443606864301E-2</v>
      </c>
      <c r="AH32" s="244">
        <f>2250/264090.17</f>
        <v>8.5198173033096992E-3</v>
      </c>
      <c r="AI32" s="244">
        <f>7869.8/208269.32</f>
        <v>3.7786650477372279E-2</v>
      </c>
      <c r="AJ32" s="244">
        <f>15366.58/276485.49</f>
        <v>5.5578251140774151E-2</v>
      </c>
      <c r="AK32" s="244">
        <f>4211.92/428044.52</f>
        <v>9.839911044767025E-3</v>
      </c>
    </row>
    <row r="33" spans="1:37">
      <c r="A33" s="282"/>
      <c r="B33" t="s">
        <v>149</v>
      </c>
      <c r="C33" s="34" t="s">
        <v>150</v>
      </c>
      <c r="D33" s="9" t="s">
        <v>151</v>
      </c>
      <c r="J33" s="242">
        <v>0</v>
      </c>
      <c r="K33" s="242">
        <v>0</v>
      </c>
      <c r="L33" s="242">
        <v>0</v>
      </c>
      <c r="R33" s="242">
        <v>0</v>
      </c>
      <c r="W33" s="244">
        <v>0</v>
      </c>
      <c r="AB33" s="244">
        <v>0</v>
      </c>
      <c r="AC33" s="244">
        <f>-33332.07/56407.51</f>
        <v>-0.59091546497975178</v>
      </c>
      <c r="AD33" s="244">
        <f>0</f>
        <v>0</v>
      </c>
      <c r="AE33" s="244">
        <v>0</v>
      </c>
      <c r="AF33" s="244">
        <v>0</v>
      </c>
      <c r="AG33" s="244">
        <v>0</v>
      </c>
      <c r="AH33" s="244">
        <v>0</v>
      </c>
      <c r="AI33" s="244">
        <v>0</v>
      </c>
      <c r="AJ33" s="244">
        <v>0</v>
      </c>
      <c r="AK33" s="244">
        <v>0</v>
      </c>
    </row>
    <row r="34" spans="1:37">
      <c r="A34" s="282"/>
      <c r="B34" s="9"/>
      <c r="C34" s="34" t="s">
        <v>152</v>
      </c>
      <c r="D34" s="9" t="s">
        <v>153</v>
      </c>
      <c r="J34" s="242">
        <f>-8859.75/602413.3</f>
        <v>-1.4707095610272879E-2</v>
      </c>
      <c r="K34" s="242">
        <f>-13417.98/520083.2</f>
        <v>-2.5799679743548722E-2</v>
      </c>
      <c r="L34" s="247">
        <f>-164430.57/836083.1</f>
        <v>-0.196667735539685</v>
      </c>
      <c r="R34" s="247">
        <f>-107562.17/759153.93</f>
        <v>-0.14168690399850792</v>
      </c>
      <c r="W34" s="248">
        <f>-272142.85/955324.77</f>
        <v>-0.2848694585821322</v>
      </c>
      <c r="AB34" s="248">
        <f>-221984.98/913265.74</f>
        <v>-0.24306723692492835</v>
      </c>
      <c r="AC34" s="244">
        <f>-150454.67/810366.03</f>
        <v>-0.18566260730351691</v>
      </c>
      <c r="AD34" s="244">
        <f>-25373.16/743879.56</f>
        <v>-3.410923133847097E-2</v>
      </c>
      <c r="AE34" s="244">
        <f>-49174.5/801428.56</f>
        <v>-6.1358557024720949E-2</v>
      </c>
      <c r="AF34" s="244">
        <f>-19880.55/851478.27</f>
        <v>-2.3348276404047279E-2</v>
      </c>
      <c r="AG34" s="244">
        <f>-26876.32/819948.82</f>
        <v>-3.2778045829738499E-2</v>
      </c>
      <c r="AH34" s="244">
        <f>13036.04/857965.92</f>
        <v>1.5194123328348521E-2</v>
      </c>
      <c r="AI34" s="244">
        <f>-3653.53/835360.06</f>
        <v>-4.3735990921088567E-3</v>
      </c>
      <c r="AJ34" s="244">
        <f>-4081.5/789379.59</f>
        <v>-5.1705162531501484E-3</v>
      </c>
      <c r="AK34" s="244">
        <f>-3387.49/910848.77</f>
        <v>-3.7190476746211116E-3</v>
      </c>
    </row>
    <row r="35" spans="1:37">
      <c r="A35" s="282"/>
      <c r="B35" s="9"/>
      <c r="C35" s="34" t="s">
        <v>154</v>
      </c>
      <c r="D35" s="9" t="s">
        <v>155</v>
      </c>
      <c r="J35" s="242">
        <v>0</v>
      </c>
      <c r="K35" s="242">
        <v>0</v>
      </c>
      <c r="L35" s="242">
        <v>0</v>
      </c>
      <c r="R35" s="242">
        <v>0</v>
      </c>
      <c r="W35" s="248">
        <f>-17819.7/39742</f>
        <v>-0.44838458054451213</v>
      </c>
      <c r="AB35" s="248">
        <f>-16085.16/31270.41</f>
        <v>-0.5143891621504163</v>
      </c>
      <c r="AC35" s="244">
        <f>-1214/15368.83</f>
        <v>-7.8991048765585936E-2</v>
      </c>
      <c r="AD35" s="244">
        <f>-1359.2/17403.47</f>
        <v>-7.8099367539921638E-2</v>
      </c>
      <c r="AE35" s="244">
        <f>-1214/14734.46</f>
        <v>-8.2391889488993827E-2</v>
      </c>
      <c r="AF35" s="244">
        <f>-1214/15115.29</f>
        <v>-8.0316024370025316E-2</v>
      </c>
      <c r="AG35" s="244">
        <f>-1335.8/14627.7</f>
        <v>-9.1319893079568212E-2</v>
      </c>
      <c r="AH35" s="244">
        <f>-1214/15115.29</f>
        <v>-8.0316024370025316E-2</v>
      </c>
      <c r="AI35" s="244">
        <f>-1214/15115.29</f>
        <v>-8.0316024370025316E-2</v>
      </c>
      <c r="AJ35" s="244">
        <f>-1214/13652.52</f>
        <v>-8.8921312695385168E-2</v>
      </c>
      <c r="AK35" s="244">
        <f>0</f>
        <v>0</v>
      </c>
    </row>
    <row r="36" spans="1:37">
      <c r="A36" s="282"/>
      <c r="B36" s="9"/>
      <c r="C36" s="34" t="s">
        <v>156</v>
      </c>
      <c r="D36" s="9" t="s">
        <v>157</v>
      </c>
      <c r="J36" s="242">
        <f>156.16/278807.03</f>
        <v>5.6010065456383934E-4</v>
      </c>
      <c r="K36" s="242">
        <v>0</v>
      </c>
      <c r="L36" s="242">
        <f>-14815.52/276671.44</f>
        <v>-5.3549148405054023E-2</v>
      </c>
      <c r="R36" s="242">
        <f>-17540.26/228845.01</f>
        <v>-7.6646897391382918E-2</v>
      </c>
      <c r="W36" s="248">
        <f>-40897.5/291537</f>
        <v>-0.14028236553164777</v>
      </c>
      <c r="AB36" s="248">
        <f>-120894.98/387394.9</f>
        <v>-0.31207168705628285</v>
      </c>
      <c r="AC36" s="244">
        <f>-23125.34/326074.19</f>
        <v>-7.0920485917637333E-2</v>
      </c>
      <c r="AD36" s="244">
        <f>-1035.18/341431.26</f>
        <v>-3.0318840752894156E-3</v>
      </c>
      <c r="AE36" s="244">
        <f>-8211.5/344966.6</f>
        <v>-2.3803753754711329E-2</v>
      </c>
      <c r="AF36" s="244">
        <f>-2168/325184.72</f>
        <v>-6.6669799245179795E-3</v>
      </c>
      <c r="AG36" s="244">
        <f>-2246.88/304421.44</f>
        <v>-7.3808204836032579E-3</v>
      </c>
      <c r="AH36" s="244">
        <f>-2168/314846.36</f>
        <v>-6.8858982520871451E-3</v>
      </c>
      <c r="AI36" s="244">
        <f>-2278.64/283582.69</f>
        <v>-8.0351871970746874E-3</v>
      </c>
      <c r="AJ36" s="244">
        <f>-712/256516.24</f>
        <v>-2.7756527228061665E-3</v>
      </c>
      <c r="AK36" s="244">
        <f>-2319/343434.33</f>
        <v>-6.7523826170784963E-3</v>
      </c>
    </row>
    <row r="37" spans="1:37">
      <c r="A37" s="282"/>
      <c r="B37" s="9"/>
      <c r="C37" s="34" t="s">
        <v>158</v>
      </c>
      <c r="D37" s="9" t="s">
        <v>159</v>
      </c>
      <c r="J37" s="242">
        <v>0</v>
      </c>
      <c r="K37" s="242">
        <v>0</v>
      </c>
      <c r="L37" s="242">
        <v>0</v>
      </c>
      <c r="R37" s="242">
        <v>0</v>
      </c>
      <c r="W37" s="244">
        <v>0</v>
      </c>
      <c r="AB37" s="244">
        <v>0</v>
      </c>
      <c r="AC37" s="244">
        <v>0</v>
      </c>
      <c r="AD37" s="244">
        <f>0</f>
        <v>0</v>
      </c>
      <c r="AE37" s="244">
        <v>0</v>
      </c>
      <c r="AF37" s="244">
        <v>0</v>
      </c>
      <c r="AG37" s="244">
        <v>0</v>
      </c>
      <c r="AH37" s="244">
        <v>0</v>
      </c>
      <c r="AI37" s="244">
        <v>0</v>
      </c>
      <c r="AJ37" s="244">
        <v>0</v>
      </c>
      <c r="AK37" s="244">
        <v>0</v>
      </c>
    </row>
    <row r="38" spans="1:37">
      <c r="A38" s="282"/>
      <c r="B38" s="9"/>
      <c r="C38" s="34" t="s">
        <v>160</v>
      </c>
      <c r="D38" s="9" t="s">
        <v>161</v>
      </c>
      <c r="J38" s="242">
        <v>0</v>
      </c>
      <c r="K38" s="242">
        <f>-14737.06/181983.09</f>
        <v>-8.0980381199154267E-2</v>
      </c>
      <c r="L38" s="242">
        <f>-4747.84/193156.74</f>
        <v>-2.4580245038304128E-2</v>
      </c>
      <c r="R38" s="242">
        <f>-26854.22/237249.37</f>
        <v>-0.11318984745881518</v>
      </c>
      <c r="W38" s="244">
        <f>-9507.67/228611.03</f>
        <v>-4.1588850721682155E-2</v>
      </c>
      <c r="AB38" s="248">
        <f>-53348.29/299826.63</f>
        <v>-0.17793045934578927</v>
      </c>
      <c r="AC38" s="244">
        <f>-123474.47/411557.2</f>
        <v>-0.30001776180807915</v>
      </c>
      <c r="AD38" s="244">
        <f>-2687.1/271066.63</f>
        <v>-9.9130608588744399E-3</v>
      </c>
      <c r="AE38" s="244">
        <f>-2060/216138.11</f>
        <v>-9.5309429697520726E-3</v>
      </c>
      <c r="AF38" s="244">
        <f>-9020.08/193425.01</f>
        <v>-4.663347309636949E-2</v>
      </c>
      <c r="AG38" s="244">
        <f>-2060/181453.67</f>
        <v>-1.13527601839081E-2</v>
      </c>
      <c r="AH38" s="244">
        <f>-2353.36/191175.48</f>
        <v>-1.2309946861386199E-2</v>
      </c>
      <c r="AI38" s="244">
        <f>-2060/187290.36</f>
        <v>-1.0998964388770464E-2</v>
      </c>
      <c r="AJ38" s="248">
        <f>-21779.9/140561.31</f>
        <v>-0.15494946653527916</v>
      </c>
      <c r="AK38" s="244">
        <f>-253.44/131006.1</f>
        <v>-1.9345664056864527E-3</v>
      </c>
    </row>
    <row r="39" spans="1:37">
      <c r="A39" s="282"/>
      <c r="B39" s="9"/>
      <c r="C39" s="34" t="s">
        <v>162</v>
      </c>
      <c r="D39" s="9" t="s">
        <v>163</v>
      </c>
      <c r="J39" s="242">
        <f>-1304.08/313799.55</f>
        <v>-4.1557739646216826E-3</v>
      </c>
      <c r="K39" s="242">
        <f>-1226/322543.8</f>
        <v>-3.801034154121084E-3</v>
      </c>
      <c r="L39" s="242">
        <f>-128846.44/534396.81</f>
        <v>-0.24110630450806769</v>
      </c>
      <c r="R39" s="242">
        <f>-27209.02/446138.92</f>
        <v>-6.0987774839281007E-2</v>
      </c>
      <c r="W39" s="248">
        <f>-162040.26/633816.27</f>
        <v>-0.25565809473461448</v>
      </c>
      <c r="AB39" s="244">
        <f>-30056.95/518108.14</f>
        <v>-5.8012888969472667E-2</v>
      </c>
      <c r="AC39" s="244">
        <v>0</v>
      </c>
      <c r="AD39" s="244">
        <f>-12062.45/561979.05</f>
        <v>-2.1464234298413792E-2</v>
      </c>
      <c r="AE39" s="244">
        <f>-3843.38/470419.03</f>
        <v>-8.170120158616883E-3</v>
      </c>
      <c r="AF39" s="244">
        <f>-5814.33/421613.62</f>
        <v>-1.3790659798893594E-2</v>
      </c>
      <c r="AG39" s="244">
        <f>-13482.86/371679.87</f>
        <v>-3.6275464689545872E-2</v>
      </c>
      <c r="AH39" s="244">
        <f>-2525.28/432716.36</f>
        <v>-5.8358782644594267E-3</v>
      </c>
      <c r="AI39" s="244">
        <f>-1690.36/508924</f>
        <v>-3.321438957486776E-3</v>
      </c>
      <c r="AJ39" s="244">
        <f>-12775.39/505246.82</f>
        <v>-2.5285443657022916E-2</v>
      </c>
      <c r="AK39" s="244">
        <f>-1817.74/522984.35</f>
        <v>-3.4757062998156639E-3</v>
      </c>
    </row>
    <row r="40" spans="1:37">
      <c r="A40" s="282"/>
      <c r="B40" s="9"/>
      <c r="C40" s="34" t="s">
        <v>164</v>
      </c>
      <c r="D40" s="9" t="s">
        <v>165</v>
      </c>
      <c r="J40" s="242">
        <f>-136.64/250460.33</f>
        <v>-5.455554578243987E-4</v>
      </c>
      <c r="K40" s="242">
        <f>-767.31/177119.44</f>
        <v>-4.3321613934642067E-3</v>
      </c>
      <c r="L40" s="242">
        <f>-6905.79/222814.65</f>
        <v>-3.0993428843211164E-2</v>
      </c>
      <c r="R40" s="242">
        <f>-663.68/193268.46</f>
        <v>-3.4339798640709404E-3</v>
      </c>
      <c r="W40" s="248">
        <f>-54040.91/260970.73</f>
        <v>-0.20707651773821531</v>
      </c>
      <c r="AB40" s="244">
        <v>0</v>
      </c>
      <c r="AC40" s="244">
        <v>0</v>
      </c>
      <c r="AD40" s="244">
        <f>-20994.73/201386.34</f>
        <v>-0.10425101325144495</v>
      </c>
      <c r="AE40" s="244">
        <f>-1675/163970.66</f>
        <v>-1.0215242165885043E-2</v>
      </c>
      <c r="AF40" s="244">
        <f>-20169.72/244597.08</f>
        <v>-8.2461000760924871E-2</v>
      </c>
      <c r="AG40" s="244">
        <f>-10430.07/264197.45</f>
        <v>-3.947831441976446E-2</v>
      </c>
      <c r="AH40" s="244">
        <f>-2316.06/227289.78</f>
        <v>-1.0189899431465858E-2</v>
      </c>
      <c r="AI40" s="244">
        <f>-177.98/174788.1</f>
        <v>-1.0182615406884106E-3</v>
      </c>
      <c r="AJ40" s="244">
        <f>-15790/219211.49</f>
        <v>-7.2030895825761693E-2</v>
      </c>
      <c r="AK40" s="244">
        <f>-4400/137098.68</f>
        <v>-3.2093671507267614E-2</v>
      </c>
    </row>
    <row r="41" spans="1:37" s="305" customFormat="1">
      <c r="A41" s="302" t="s">
        <v>166</v>
      </c>
      <c r="B41" s="303"/>
      <c r="C41" s="304"/>
      <c r="D41" s="303"/>
      <c r="J41" s="243"/>
      <c r="K41" s="243"/>
      <c r="L41" s="243"/>
      <c r="O41" s="307"/>
      <c r="R41" s="243"/>
      <c r="W41" s="245"/>
      <c r="AB41" s="245"/>
      <c r="AC41" s="245"/>
      <c r="AD41" s="245"/>
      <c r="AE41" s="245"/>
    </row>
    <row r="42" spans="1:37">
      <c r="A42" s="282"/>
      <c r="B42" s="9"/>
      <c r="C42" s="34"/>
      <c r="D42" s="9" t="s">
        <v>147</v>
      </c>
      <c r="J42" s="247">
        <f>-41267.31/(405942.08-12476.4)</f>
        <v>-0.10488159983864412</v>
      </c>
      <c r="K42" s="247">
        <f>-34496.11/(333582.79-7430.66)</f>
        <v>-0.10576693152364205</v>
      </c>
      <c r="L42" s="247">
        <f>-58139.14/(395983.97+12802.58)</f>
        <v>-0.14222371063822917</v>
      </c>
      <c r="R42" s="247">
        <f>-42396.04/(293987.28-3775.24)</f>
        <v>-0.14608642701384819</v>
      </c>
      <c r="W42" s="248">
        <f>-76919.83/(218766.01+1745.86)</f>
        <v>-0.34882398847735502</v>
      </c>
      <c r="AB42" s="248">
        <f>-16575.27/(167815.72+7162.87)</f>
        <v>-9.4727417794371299E-2</v>
      </c>
      <c r="AC42" s="244">
        <f>-31117.03/(146193.91+538.99)</f>
        <v>-0.21206580119386995</v>
      </c>
      <c r="AD42" s="248">
        <f>-92241.9/(122385.41-2666.26)</f>
        <v>-0.77048575770877081</v>
      </c>
      <c r="AE42" s="244">
        <f>-18644.89/(111138.58-133.72)</f>
        <v>-0.16796462785503266</v>
      </c>
      <c r="AF42" s="244">
        <f>-16529.73/(244155.56-1008.78)</f>
        <v>-6.7982516568798487E-2</v>
      </c>
      <c r="AG42" s="244">
        <f>-17158.4/(381600.66+3491.53)</f>
        <v>-4.455660344604756E-2</v>
      </c>
      <c r="AH42" s="244">
        <f>-25653.41/(417354.81+2657.99)</f>
        <v>-6.1077686203849027E-2</v>
      </c>
      <c r="AI42" s="244">
        <f>-9271.94/(370141.67-1901.95)</f>
        <v>-2.5179087144645888E-2</v>
      </c>
      <c r="AJ42" s="244">
        <f>-23293.15/(314543.91-4764.45)</f>
        <v>-7.5192687081319098E-2</v>
      </c>
      <c r="AK42" s="244">
        <f>-13234.18/(213295.97+2688.93)</f>
        <v>-6.1273635332840401E-2</v>
      </c>
    </row>
    <row r="43" spans="1:37">
      <c r="A43" s="282"/>
      <c r="B43" s="9"/>
      <c r="C43" s="34"/>
      <c r="D43" s="9" t="s">
        <v>148</v>
      </c>
      <c r="J43" s="247">
        <f>-10717.24/(302225.63-859.24)</f>
        <v>-3.5562160730664087E-2</v>
      </c>
      <c r="K43" s="247">
        <f>-41967.87/(286076.41-199.97)</f>
        <v>-0.14680422772859492</v>
      </c>
      <c r="L43" s="247">
        <f>-18899.89/(297197.58+4720.8)</f>
        <v>-6.259933562176638E-2</v>
      </c>
      <c r="R43" s="247">
        <f>-23768.58/(393502.24-2823.85)</f>
        <v>-6.0839249388736347E-2</v>
      </c>
      <c r="W43" s="244">
        <f>-12024.14/(529760.55+3391.25)</f>
        <v>-2.2552938956597348E-2</v>
      </c>
      <c r="AB43" s="248">
        <f>-39009.93/(496938.66+12063)</f>
        <v>-7.6640084042162063E-2</v>
      </c>
      <c r="AC43" s="244">
        <f>-38795.63/(555221.24+1733.64)</f>
        <v>-6.9656683859202373E-2</v>
      </c>
      <c r="AD43" s="248">
        <f>-124830.79/(566861.85+16581.44)</f>
        <v>-0.21395531003535923</v>
      </c>
      <c r="AE43" s="244">
        <f>-45954.31/(511348.77+8104.51)</f>
        <v>-8.8466685589125543E-2</v>
      </c>
      <c r="AF43" s="244">
        <f>-47342.12/(409327.98+4567.51)</f>
        <v>-0.11438182136268266</v>
      </c>
      <c r="AG43" s="244">
        <f>-24381.16/(298765.44+6868.75)</f>
        <v>-7.9772357928934584E-2</v>
      </c>
      <c r="AH43" s="244">
        <f>-17601.15/(264090.17+2250)</f>
        <v>-6.6085224771013709E-2</v>
      </c>
      <c r="AI43" s="244">
        <f>-14178.07/(208269.32+7869.8)</f>
        <v>-6.5596963659332014E-2</v>
      </c>
      <c r="AJ43" s="244">
        <f>-12747.83/(276485.49+15366.58)</f>
        <v>-4.3679080295712824E-2</v>
      </c>
      <c r="AK43" s="244">
        <f>4198.11/(428044.52+4211.92)</f>
        <v>9.7120820224216899E-3</v>
      </c>
    </row>
    <row r="44" spans="1:37">
      <c r="A44" s="282"/>
      <c r="B44" t="s">
        <v>149</v>
      </c>
      <c r="C44" s="34" t="s">
        <v>150</v>
      </c>
      <c r="D44" s="9" t="s">
        <v>151</v>
      </c>
      <c r="J44" s="242">
        <v>0</v>
      </c>
      <c r="K44" s="242">
        <v>0</v>
      </c>
      <c r="L44" s="242">
        <v>0</v>
      </c>
      <c r="R44" s="242">
        <v>0</v>
      </c>
      <c r="W44" s="244">
        <v>0</v>
      </c>
      <c r="AB44" s="244">
        <f>-145.88/7299.32</f>
        <v>-1.9985423299704631E-2</v>
      </c>
      <c r="AC44" s="244">
        <f>-1705.46/(56407.51-33332.07)</f>
        <v>-7.3908016488526324E-2</v>
      </c>
      <c r="AD44" s="244">
        <f>-691.21/11180.63</f>
        <v>-6.1822097681436566E-2</v>
      </c>
      <c r="AE44" s="244">
        <v>0</v>
      </c>
      <c r="AF44" s="244">
        <v>0</v>
      </c>
      <c r="AG44" s="244">
        <v>0</v>
      </c>
      <c r="AH44" s="244">
        <v>0</v>
      </c>
      <c r="AI44" s="244">
        <v>0</v>
      </c>
      <c r="AJ44" s="244">
        <v>0</v>
      </c>
      <c r="AK44" s="244">
        <v>0</v>
      </c>
    </row>
    <row r="45" spans="1:37">
      <c r="A45" s="282"/>
      <c r="B45" s="9"/>
      <c r="C45" s="34" t="s">
        <v>152</v>
      </c>
      <c r="D45" s="9" t="s">
        <v>153</v>
      </c>
      <c r="J45" s="242">
        <f>-10930.48/(602413.3-8859.75)</f>
        <v>-1.8415322425415531E-2</v>
      </c>
      <c r="K45" s="242">
        <f>-9438.51/(520083.2-13417.98)</f>
        <v>-1.8628691347710821E-2</v>
      </c>
      <c r="L45" s="242">
        <f>-10244.16/(836083.1-164430.57)</f>
        <v>-1.5252172131325105E-2</v>
      </c>
      <c r="R45" s="247">
        <f>-111792.89/(759153.93-107562.17)</f>
        <v>-0.17156891302615612</v>
      </c>
      <c r="W45" s="244">
        <f>-12694.26/(955324.77-272142.85)</f>
        <v>-1.8581083059106714E-2</v>
      </c>
      <c r="AB45" s="244">
        <f>-20687.57/(913265.74-221984.98)</f>
        <v>-2.9926436835881271E-2</v>
      </c>
      <c r="AC45" s="244">
        <f>-16982.52/(810366.03-150454.67)</f>
        <v>-2.5734547136754854E-2</v>
      </c>
      <c r="AD45" s="244">
        <f>-9514/(743879.56-25373.16)</f>
        <v>-1.3241357349078588E-2</v>
      </c>
      <c r="AE45" s="244">
        <f>-6518.19/(801428.56-49174.5)</f>
        <v>-8.6648784587483631E-3</v>
      </c>
      <c r="AF45" s="244">
        <f>-43880.9/(851478.27-19880.55)</f>
        <v>-5.2766979688207906E-2</v>
      </c>
      <c r="AG45" s="244">
        <f>-22344.52/(819948.82-26876.32)</f>
        <v>-2.8174624640244113E-2</v>
      </c>
      <c r="AH45" s="248">
        <f>-102085.29/(857965.92+13036.04)</f>
        <v>-0.11720443200839638</v>
      </c>
      <c r="AI45" s="248">
        <f>93497.18/(835360.06-3653.53)</f>
        <v>0.1124160706060586</v>
      </c>
      <c r="AJ45" s="244">
        <f>-20518.29/(789379.59-4081.5)</f>
        <v>-2.6128027383843507E-2</v>
      </c>
      <c r="AK45" s="244">
        <f>-20999.5/(910848.77-3387.49)</f>
        <v>-2.3140932250023935E-2</v>
      </c>
    </row>
    <row r="46" spans="1:37">
      <c r="A46" s="282"/>
      <c r="B46" s="9"/>
      <c r="C46" s="34" t="s">
        <v>154</v>
      </c>
      <c r="D46" s="9" t="s">
        <v>155</v>
      </c>
      <c r="J46" s="242">
        <v>0</v>
      </c>
      <c r="K46" s="242">
        <v>0</v>
      </c>
      <c r="L46" s="242">
        <f>-76.17/8933.39</f>
        <v>-8.5264384516963894E-3</v>
      </c>
      <c r="R46" s="242">
        <f>-120.9/14586.3</f>
        <v>-8.2885995763147622E-3</v>
      </c>
      <c r="W46" s="244">
        <f>-537.55/(39742-17819.7)</f>
        <v>-2.452069354036757E-2</v>
      </c>
      <c r="AB46" s="248">
        <f>-1768.18/(31270.41-16085.16)</f>
        <v>-0.11644062494855205</v>
      </c>
      <c r="AC46" s="244">
        <f>-1861.09/(15368.83-1214)</f>
        <v>-0.13148091499509354</v>
      </c>
      <c r="AD46" s="244">
        <f>-171.58/(17403.47-1359.2)</f>
        <v>-1.0694160594405356E-2</v>
      </c>
      <c r="AE46" s="244">
        <f>-682.17/(14734.46-1214)</f>
        <v>-5.0454644294646779E-2</v>
      </c>
      <c r="AF46" s="244">
        <f>-355.75/(15115.29-1214)</f>
        <v>-2.5591150173832785E-2</v>
      </c>
      <c r="AG46" s="244">
        <f>-121.8/(14627.7-1214)</f>
        <v>-9.0802686805281155E-3</v>
      </c>
      <c r="AH46" s="244">
        <f>164.68/(15115.29-1214)</f>
        <v>1.1846382601902412E-2</v>
      </c>
      <c r="AI46" s="244">
        <f>-125.64/(15115.29-1214)</f>
        <v>-9.0380101415048521E-3</v>
      </c>
      <c r="AJ46" s="244">
        <f>-113.46/(13652.52-1214)</f>
        <v>-9.1216639921791326E-3</v>
      </c>
      <c r="AK46" s="244">
        <f>-125.66/14960.29</f>
        <v>-8.3995697944358027E-3</v>
      </c>
    </row>
    <row r="47" spans="1:37">
      <c r="A47" s="282"/>
      <c r="B47" s="9"/>
      <c r="C47" s="34" t="s">
        <v>156</v>
      </c>
      <c r="D47" s="9" t="s">
        <v>157</v>
      </c>
      <c r="J47" s="242">
        <f>-3926.83/(278807.03-156.16)</f>
        <v>-1.4092294059587897E-2</v>
      </c>
      <c r="K47" s="242">
        <f>-4877.86/264640.39</f>
        <v>-1.8432031482420348E-2</v>
      </c>
      <c r="L47" s="242">
        <f>-4231.95/(276671.44-14815.52)</f>
        <v>-1.6161368434977525E-2</v>
      </c>
      <c r="R47" s="247">
        <f>-12747.54/(228845.01-17540.26)</f>
        <v>-6.0327749376197178E-2</v>
      </c>
      <c r="W47" s="244">
        <f>-3011.1/(291537-40897.5)</f>
        <v>-1.2013669034609469E-2</v>
      </c>
      <c r="AB47" s="244">
        <f>-4828.21/(387394.9-120894.98)</f>
        <v>-1.8117116132717787E-2</v>
      </c>
      <c r="AC47" s="244">
        <f>-10206.17/(326074.19-23125.34)</f>
        <v>-3.3689416546720675E-2</v>
      </c>
      <c r="AD47" s="244">
        <f>-8347.83/(341431.26-1035.18)</f>
        <v>-2.4523872307812708E-2</v>
      </c>
      <c r="AE47" s="244">
        <f>-4322.41/(344966.6-8211.5)</f>
        <v>-1.2835470049302891E-2</v>
      </c>
      <c r="AF47" s="244">
        <f>-6963.19/(325184.72-2168)</f>
        <v>-2.1556747898375046E-2</v>
      </c>
      <c r="AG47" s="244">
        <f>-9519.26/(304421.44-2246.88)</f>
        <v>-3.1502519603238605E-2</v>
      </c>
      <c r="AH47" s="244">
        <f>-22912.18/(314846.36-2168)</f>
        <v>-7.3277152918417507E-2</v>
      </c>
      <c r="AI47" s="244">
        <f>-4673.94/(283582.69-2278.64)</f>
        <v>-1.6615260249541377E-2</v>
      </c>
      <c r="AJ47" s="244">
        <f>6200.98/(256516.24-712)</f>
        <v>2.4241115002628572E-2</v>
      </c>
      <c r="AK47" s="244">
        <f>-2319/(343434.33-5621.74)</f>
        <v>-6.864753027706871E-3</v>
      </c>
    </row>
    <row r="48" spans="1:37">
      <c r="A48" s="282"/>
      <c r="B48" s="9"/>
      <c r="C48" s="34" t="s">
        <v>158</v>
      </c>
      <c r="D48" s="9" t="s">
        <v>159</v>
      </c>
      <c r="J48" s="242">
        <v>0</v>
      </c>
      <c r="K48" s="242">
        <v>0</v>
      </c>
      <c r="L48" s="242">
        <v>0</v>
      </c>
      <c r="R48" s="242">
        <v>0</v>
      </c>
      <c r="W48" s="244">
        <f>-80.37/4020.21</f>
        <v>-1.9991492981709911E-2</v>
      </c>
      <c r="AB48" s="244">
        <f>-245.34/12272.22</f>
        <v>-1.9991492981709911E-2</v>
      </c>
      <c r="AC48" s="244">
        <f>-640.1/12272.22</f>
        <v>-5.2158452178986368E-2</v>
      </c>
      <c r="AD48" s="244">
        <f>-337.21/5583.82</f>
        <v>-6.039055700219563E-2</v>
      </c>
      <c r="AE48" s="244">
        <v>0</v>
      </c>
      <c r="AF48" s="244">
        <v>0</v>
      </c>
      <c r="AG48" s="244">
        <v>0</v>
      </c>
      <c r="AH48" s="244">
        <v>0</v>
      </c>
      <c r="AI48" s="244">
        <v>0</v>
      </c>
      <c r="AJ48" s="244">
        <v>0</v>
      </c>
      <c r="AK48" s="244">
        <v>0</v>
      </c>
    </row>
    <row r="49" spans="1:37">
      <c r="A49" s="282"/>
      <c r="B49" s="9"/>
      <c r="C49" s="34" t="s">
        <v>160</v>
      </c>
      <c r="D49" s="9" t="s">
        <v>161</v>
      </c>
      <c r="J49" s="242">
        <f>-2708.82/200721.68</f>
        <v>-1.3495403187139527E-2</v>
      </c>
      <c r="K49" s="242">
        <f>-3853.5/(181983.09-14737.06)</f>
        <v>-2.3040905664547015E-2</v>
      </c>
      <c r="L49" s="242">
        <f>-3387.81/(193156.74-4747.84)</f>
        <v>-1.7981156941099915E-2</v>
      </c>
      <c r="R49" s="247">
        <f>-8233.86/(237249.37-26854.22)</f>
        <v>-3.9135217708202878E-2</v>
      </c>
      <c r="W49" s="244">
        <f>-3521.77/(228611.03-9507.67)</f>
        <v>-1.6073555421514302E-2</v>
      </c>
      <c r="AB49" s="244">
        <f>-5399.78/(299826.63-53348.29)</f>
        <v>-2.1907726252943766E-2</v>
      </c>
      <c r="AC49" s="244">
        <f>-5082.69/(411557.2-123474.47)</f>
        <v>-1.7643161046134212E-2</v>
      </c>
      <c r="AD49" s="244">
        <f>-3749.9/(271066.63-2687.1)</f>
        <v>-1.3972377103425138E-2</v>
      </c>
      <c r="AE49" s="244">
        <f>-4941.85/(216138.11-2060)</f>
        <v>-2.3084331228447413E-2</v>
      </c>
      <c r="AF49" s="244">
        <f>-3375.15/(193425.01-9020.08)</f>
        <v>-1.8302927150591904E-2</v>
      </c>
      <c r="AG49" s="248">
        <f>-48591.99/(181453.67-2060)</f>
        <v>-0.27086791858374931</v>
      </c>
      <c r="AH49" s="248">
        <f>-61130.61/(191175.48-2353.36)</f>
        <v>-0.3237470800560866</v>
      </c>
      <c r="AI49" s="244">
        <f>-2472.22/(187290.36-2060)</f>
        <v>-1.3346732144773676E-2</v>
      </c>
      <c r="AJ49" s="248">
        <f>-15211.86/(140561.31-21779.9)</f>
        <v>-0.12806599955329712</v>
      </c>
      <c r="AK49" s="244">
        <f>3178.48/(131006.1-253.44)</f>
        <v>2.4309103921862852E-2</v>
      </c>
    </row>
    <row r="50" spans="1:37">
      <c r="A50" s="282"/>
      <c r="B50" s="9"/>
      <c r="C50" s="34" t="s">
        <v>162</v>
      </c>
      <c r="D50" s="9" t="s">
        <v>163</v>
      </c>
      <c r="J50" s="242">
        <f>-27258.94/(313799.55-1304.08)</f>
        <v>-8.722987248423153E-2</v>
      </c>
      <c r="K50" s="242">
        <f>-20890.51/(322543.8-1226)</f>
        <v>-6.5015103427198864E-2</v>
      </c>
      <c r="L50" s="242">
        <f>-19450.28/(534396.81-128846.44)</f>
        <v>-4.796020775421804E-2</v>
      </c>
      <c r="R50" s="247">
        <f>-24361.43/(446138.92-27209.02)</f>
        <v>-5.8151566646353015E-2</v>
      </c>
      <c r="W50" s="251">
        <f>-22338.83/(633816.27-162040.26)</f>
        <v>-4.7350500081595928E-2</v>
      </c>
      <c r="AB50" s="248">
        <f>-15028.89/(518108.14-30056.95)</f>
        <v>-3.0793675556861154E-2</v>
      </c>
      <c r="AC50" s="244">
        <f>-42041.09/522771.51</f>
        <v>-8.0419627305244684E-2</v>
      </c>
      <c r="AD50" s="244">
        <f>-28887.39/(561979.05-12062.45)</f>
        <v>-5.2530492805636333E-2</v>
      </c>
      <c r="AE50" s="244">
        <f>-30232.14/(470419.03-3843.38)</f>
        <v>-6.479579463694686E-2</v>
      </c>
      <c r="AF50" s="244">
        <f>-23806.44/(421613.62-5814.33)</f>
        <v>-5.7254643219809248E-2</v>
      </c>
      <c r="AG50" s="244">
        <f>-6476.33/(371679.87-13482.86)</f>
        <v>-1.8080357510521932E-2</v>
      </c>
      <c r="AH50" s="244">
        <f>-8100.77/(432716.36-2525.28)</f>
        <v>-1.8830632192559645E-2</v>
      </c>
      <c r="AI50" s="244">
        <f>-9925.06/(508924-1690.36)</f>
        <v>-1.956703817988097E-2</v>
      </c>
      <c r="AJ50" s="244">
        <f>-9605.63/(505246.82-12775.39)</f>
        <v>-1.9504948743930179E-2</v>
      </c>
      <c r="AK50" s="244">
        <f>-29266.29/(522984.35-1817.74)</f>
        <v>-5.6155343489867858E-2</v>
      </c>
    </row>
    <row r="51" spans="1:37">
      <c r="A51" s="282"/>
      <c r="B51" s="9"/>
      <c r="C51" s="34" t="s">
        <v>164</v>
      </c>
      <c r="D51" s="9" t="s">
        <v>165</v>
      </c>
      <c r="J51" s="242">
        <f>-3824.92/(250460.33-136.64)</f>
        <v>-1.5279896201594026E-2</v>
      </c>
      <c r="K51" s="242">
        <f>-2676.14/(177119.44-767.31)</f>
        <v>-1.5174979740817419E-2</v>
      </c>
      <c r="L51" s="242">
        <f>-3391.31/(222814.65-6905.79)</f>
        <v>-1.5707136798369461E-2</v>
      </c>
      <c r="R51" s="247">
        <f>-7927.12/(193268.46-663.68)</f>
        <v>-4.1157441679277117E-2</v>
      </c>
      <c r="W51" s="248">
        <f>-10726.37/(260970.73-54040.91)</f>
        <v>-5.1835786644960115E-2</v>
      </c>
      <c r="AB51" s="248">
        <f>-16602.39/202425.08</f>
        <v>-8.2017455544540235E-2</v>
      </c>
      <c r="AC51" s="244">
        <f>-10665.49/185330.13</f>
        <v>-5.7548602593652742E-2</v>
      </c>
      <c r="AD51" s="244">
        <f>-3341.24/(201386.34-20994.73)</f>
        <v>-1.8522147454640491E-2</v>
      </c>
      <c r="AE51" s="244">
        <f>-2677.93/(163970.66-1675)</f>
        <v>-1.6500317999877508E-2</v>
      </c>
      <c r="AF51" s="244">
        <f>-4394.87/(244597.08-20169.72)</f>
        <v>-1.9582594564227819E-2</v>
      </c>
      <c r="AG51" s="244">
        <f>-11396.29/(264197.45-10430.07)</f>
        <v>-4.4908411790356983E-2</v>
      </c>
      <c r="AH51" s="244">
        <f>-14005.29/(227289.78-2316.06)</f>
        <v>-6.22530044842571E-2</v>
      </c>
      <c r="AI51" s="244">
        <f>-3081.55/(174788.1-177.98)</f>
        <v>-1.7648175260403007E-2</v>
      </c>
      <c r="AJ51" s="244">
        <f>-1081.59/(219211.49-15790)</f>
        <v>-5.3169898617889391E-3</v>
      </c>
      <c r="AK51" s="244">
        <f>-2315.24/(137098.68-4400)</f>
        <v>-1.7447347629983959E-2</v>
      </c>
    </row>
    <row r="53" spans="1:37" s="305" customFormat="1">
      <c r="A53" s="302" t="s">
        <v>167</v>
      </c>
      <c r="L53" s="306"/>
      <c r="O53" s="307"/>
    </row>
    <row r="54" spans="1:37" ht="30">
      <c r="A54" s="39" t="s">
        <v>168</v>
      </c>
      <c r="B54" s="64" t="s">
        <v>169</v>
      </c>
      <c r="C54" s="64"/>
      <c r="D54" s="310" t="s">
        <v>147</v>
      </c>
      <c r="E54" s="64"/>
      <c r="F54" s="64"/>
      <c r="G54" s="64"/>
      <c r="H54" s="64"/>
      <c r="I54" s="64"/>
      <c r="J54" s="311">
        <f>-3336.71/393465.68</f>
        <v>-8.4803076090397521E-3</v>
      </c>
      <c r="K54" s="311">
        <f>-5225.2/326152.13</f>
        <v>-1.6020744675191909E-2</v>
      </c>
      <c r="L54" s="311">
        <f>-2635.97/408786.55</f>
        <v>-6.4482796706496334E-3</v>
      </c>
      <c r="M54" s="312"/>
      <c r="N54" s="312"/>
      <c r="O54" s="312"/>
      <c r="P54" s="312"/>
      <c r="Q54" s="312"/>
      <c r="R54" s="311">
        <f>346.93/290212.04</f>
        <v>1.1954362748010042E-3</v>
      </c>
      <c r="S54" s="312"/>
      <c r="T54" s="312"/>
      <c r="U54" s="312"/>
      <c r="V54" s="312"/>
      <c r="W54" s="311">
        <f>928.67/220511.87</f>
        <v>4.2114286183324284E-3</v>
      </c>
      <c r="X54" s="312"/>
      <c r="Y54" s="312"/>
      <c r="Z54" s="312"/>
      <c r="AA54" s="312"/>
      <c r="AB54" s="311">
        <f>-6848.09/174978.59</f>
        <v>-3.9136730956627321E-2</v>
      </c>
      <c r="AC54" s="311">
        <v>-2.7E-2</v>
      </c>
      <c r="AD54" s="311">
        <v>-3.8899999999999997E-2</v>
      </c>
      <c r="AE54" s="311">
        <v>-0.02</v>
      </c>
      <c r="AF54" s="311">
        <v>-7.0000000000000001E-3</v>
      </c>
      <c r="AG54" s="311">
        <v>5.0000000000000001E-3</v>
      </c>
      <c r="AH54" s="311">
        <v>-0.02</v>
      </c>
      <c r="AI54" s="311">
        <v>0.1</v>
      </c>
      <c r="AJ54" s="311">
        <v>-3.5999999999999997E-2</v>
      </c>
      <c r="AK54" s="311"/>
    </row>
    <row r="55" spans="1:37">
      <c r="B55" s="313" t="s">
        <v>170</v>
      </c>
      <c r="C55" s="64"/>
      <c r="D55" s="310" t="s">
        <v>147</v>
      </c>
      <c r="E55" s="64"/>
      <c r="F55" s="64"/>
      <c r="G55" s="64"/>
      <c r="H55" s="64"/>
      <c r="I55" s="64"/>
      <c r="J55" s="311">
        <f>-12825/393465.68</f>
        <v>-3.2594964826411291E-2</v>
      </c>
      <c r="K55" s="311">
        <f>-11610/326152.13</f>
        <v>-3.5596885416630579E-2</v>
      </c>
      <c r="L55" s="311">
        <f>-22045/408786.55</f>
        <v>-5.3927899535833553E-2</v>
      </c>
      <c r="M55" s="312"/>
      <c r="N55" s="312"/>
      <c r="O55" s="312"/>
      <c r="P55" s="312"/>
      <c r="Q55" s="312"/>
      <c r="R55" s="311">
        <f>-16405/290212.04</f>
        <v>-5.6527634070591977E-2</v>
      </c>
      <c r="S55" s="312"/>
      <c r="T55" s="312"/>
      <c r="U55" s="312"/>
      <c r="V55" s="312"/>
      <c r="W55" s="311">
        <f>-13131.4/220511.87</f>
        <v>-5.9549628779620799E-2</v>
      </c>
      <c r="X55" s="312"/>
      <c r="Y55" s="312"/>
      <c r="Z55" s="312"/>
      <c r="AA55" s="312"/>
      <c r="AB55" s="311">
        <f>-17372.76/174978.59</f>
        <v>-9.9285061103761313E-2</v>
      </c>
      <c r="AC55" s="311">
        <v>-9.6000000000000002E-2</v>
      </c>
      <c r="AD55" s="311">
        <v>-2.1100000000000001E-2</v>
      </c>
      <c r="AE55" s="311">
        <v>-1.0999999999999999E-2</v>
      </c>
      <c r="AF55" s="311">
        <v>-0.01</v>
      </c>
      <c r="AG55" s="311">
        <v>-3.0000000000000001E-3</v>
      </c>
      <c r="AH55" s="311">
        <v>-3.0000000000000001E-3</v>
      </c>
      <c r="AI55" s="311">
        <v>-0.01</v>
      </c>
      <c r="AJ55" s="311">
        <v>-8.9999999999999993E-3</v>
      </c>
      <c r="AK55" s="311">
        <v>-1.2E-2</v>
      </c>
    </row>
    <row r="56" spans="1:37">
      <c r="B56" s="314" t="s">
        <v>171</v>
      </c>
      <c r="C56" s="64"/>
      <c r="D56" s="310" t="s">
        <v>147</v>
      </c>
      <c r="E56" s="64"/>
      <c r="F56" s="64"/>
      <c r="G56" s="64"/>
      <c r="H56" s="64"/>
      <c r="I56" s="64"/>
      <c r="J56" s="311"/>
      <c r="K56" s="311"/>
      <c r="L56" s="311"/>
      <c r="M56" s="312"/>
      <c r="N56" s="312"/>
      <c r="O56" s="312"/>
      <c r="P56" s="312"/>
      <c r="Q56" s="312"/>
      <c r="R56" s="311"/>
      <c r="S56" s="312"/>
      <c r="T56" s="312"/>
      <c r="U56" s="312"/>
      <c r="V56" s="312"/>
      <c r="W56" s="311"/>
      <c r="X56" s="312"/>
      <c r="Y56" s="312"/>
      <c r="Z56" s="312"/>
      <c r="AA56" s="312"/>
      <c r="AB56" s="311"/>
      <c r="AC56" s="311">
        <v>-7.5999999999999998E-2</v>
      </c>
      <c r="AD56" s="311">
        <v>-9.8799999999999999E-2</v>
      </c>
      <c r="AE56" s="311">
        <v>-0.12</v>
      </c>
      <c r="AF56" s="311">
        <v>-3.2000000000000001E-2</v>
      </c>
      <c r="AG56" s="311">
        <v>-2.4E-2</v>
      </c>
      <c r="AH56" s="311">
        <v>-0.02</v>
      </c>
      <c r="AI56" s="311">
        <v>-1E-3</v>
      </c>
      <c r="AJ56" s="311">
        <v>-1.2999999999999999E-2</v>
      </c>
      <c r="AK56" s="311">
        <v>-3.2000000000000001E-2</v>
      </c>
    </row>
    <row r="57" spans="1:37">
      <c r="B57" s="64" t="s">
        <v>172</v>
      </c>
      <c r="C57" s="64"/>
      <c r="D57" s="310" t="s">
        <v>147</v>
      </c>
      <c r="E57" s="64"/>
      <c r="F57" s="64"/>
      <c r="G57" s="64"/>
      <c r="H57" s="64"/>
      <c r="I57" s="64"/>
      <c r="J57" s="311">
        <f>-490.01/393465.68</f>
        <v>-1.2453691005528105E-3</v>
      </c>
      <c r="K57" s="311"/>
      <c r="L57" s="311"/>
      <c r="M57" s="312"/>
      <c r="N57" s="312"/>
      <c r="O57" s="312"/>
      <c r="P57" s="312"/>
      <c r="Q57" s="312"/>
      <c r="R57" s="311"/>
      <c r="S57" s="312"/>
      <c r="T57" s="312"/>
      <c r="U57" s="312"/>
      <c r="V57" s="312"/>
      <c r="W57" s="311"/>
      <c r="X57" s="312"/>
      <c r="Y57" s="312"/>
      <c r="Z57" s="312"/>
      <c r="AA57" s="312"/>
      <c r="AB57" s="311"/>
      <c r="AC57" s="311"/>
      <c r="AD57" s="311"/>
      <c r="AE57" s="311"/>
      <c r="AF57" s="311"/>
      <c r="AG57" s="311"/>
      <c r="AH57" s="311"/>
      <c r="AI57" s="311"/>
      <c r="AJ57" s="311"/>
      <c r="AK57" s="311"/>
    </row>
    <row r="58" spans="1:37">
      <c r="B58" s="64" t="s">
        <v>173</v>
      </c>
      <c r="C58" s="64"/>
      <c r="D58" s="310" t="s">
        <v>147</v>
      </c>
      <c r="E58" s="64"/>
      <c r="F58" s="64"/>
      <c r="G58" s="64"/>
      <c r="H58" s="64"/>
      <c r="I58" s="64"/>
      <c r="J58" s="311"/>
      <c r="K58" s="311"/>
      <c r="L58" s="311"/>
      <c r="M58" s="312"/>
      <c r="N58" s="312"/>
      <c r="O58" s="312"/>
      <c r="P58" s="312"/>
      <c r="Q58" s="312"/>
      <c r="R58" s="311"/>
      <c r="S58" s="312"/>
      <c r="T58" s="312"/>
      <c r="U58" s="312"/>
      <c r="V58" s="312"/>
      <c r="W58" s="311"/>
      <c r="X58" s="312"/>
      <c r="Y58" s="312"/>
      <c r="Z58" s="312"/>
      <c r="AA58" s="312"/>
      <c r="AB58" s="311"/>
      <c r="AC58" s="311"/>
      <c r="AD58" s="311"/>
      <c r="AE58" s="311"/>
      <c r="AF58" s="311"/>
      <c r="AG58" s="311">
        <v>-3.0000000000000001E-3</v>
      </c>
      <c r="AH58" s="311"/>
      <c r="AI58" s="311">
        <v>1E-3</v>
      </c>
      <c r="AJ58" s="311"/>
      <c r="AK58" s="311"/>
    </row>
    <row r="59" spans="1:37">
      <c r="B59" s="313" t="s">
        <v>174</v>
      </c>
      <c r="C59" s="64"/>
      <c r="D59" s="310" t="s">
        <v>147</v>
      </c>
      <c r="E59" s="64"/>
      <c r="F59" s="64"/>
      <c r="G59" s="64"/>
      <c r="H59" s="64"/>
      <c r="I59" s="64"/>
      <c r="J59" s="311">
        <f>-7020.69/393465.08</f>
        <v>-1.7843235287868492E-2</v>
      </c>
      <c r="K59" s="311">
        <f>-5741.33/326152.13</f>
        <v>-1.7603227058489546E-2</v>
      </c>
      <c r="L59" s="311">
        <f>-7016.23/408786.55</f>
        <v>-1.7163553937868063E-2</v>
      </c>
      <c r="M59" s="312"/>
      <c r="N59" s="312"/>
      <c r="O59" s="312"/>
      <c r="P59" s="312"/>
      <c r="Q59" s="312"/>
      <c r="R59" s="311">
        <f>-4940.31/290212.04</f>
        <v>-1.7023104899438358E-2</v>
      </c>
      <c r="S59" s="312"/>
      <c r="T59" s="312"/>
      <c r="U59" s="312"/>
      <c r="V59" s="312"/>
      <c r="W59" s="311">
        <f>-3570.7/220511.87</f>
        <v>-1.6192779100735029E-2</v>
      </c>
      <c r="X59" s="312"/>
      <c r="Y59" s="312"/>
      <c r="Z59" s="312"/>
      <c r="AA59" s="312"/>
      <c r="AB59" s="311">
        <f>-2612.6/174978.59</f>
        <v>-1.4930969554618081E-2</v>
      </c>
      <c r="AC59" s="311">
        <v>-1.4E-2</v>
      </c>
      <c r="AD59" s="311">
        <v>-1.7299999999999999E-2</v>
      </c>
      <c r="AE59" s="311">
        <v>-1.7000000000000001E-2</v>
      </c>
      <c r="AF59" s="311">
        <v>-1.9E-2</v>
      </c>
      <c r="AG59" s="311">
        <v>-1.9E-2</v>
      </c>
      <c r="AH59" s="311">
        <v>-1.9E-2</v>
      </c>
      <c r="AI59" s="311">
        <v>-1.9E-2</v>
      </c>
      <c r="AJ59" s="311">
        <v>-1.9E-2</v>
      </c>
      <c r="AK59" s="311">
        <v>-1.7999999999999999E-2</v>
      </c>
    </row>
    <row r="60" spans="1:37">
      <c r="B60" s="314" t="s">
        <v>175</v>
      </c>
      <c r="C60" s="64"/>
      <c r="D60" s="310" t="s">
        <v>147</v>
      </c>
      <c r="E60" s="64"/>
      <c r="F60" s="64"/>
      <c r="G60" s="64"/>
      <c r="H60" s="64"/>
      <c r="I60" s="64"/>
      <c r="J60" s="311"/>
      <c r="K60" s="311">
        <f>-6429.36/326152.13</f>
        <v>-1.9712764101831863E-2</v>
      </c>
      <c r="L60" s="311">
        <f>-23615.36/408786.55</f>
        <v>-5.7769415358700039E-2</v>
      </c>
      <c r="M60" s="312"/>
      <c r="N60" s="312"/>
      <c r="O60" s="312"/>
      <c r="P60" s="312"/>
      <c r="Q60" s="312"/>
      <c r="R60" s="311">
        <f>-15778.9/290212.04</f>
        <v>-5.43702459760112E-2</v>
      </c>
      <c r="S60" s="312"/>
      <c r="T60" s="312"/>
      <c r="U60" s="312"/>
      <c r="V60" s="312"/>
      <c r="W60" s="311">
        <f>-8100.08/220511.87</f>
        <v>-3.6733079266889353E-2</v>
      </c>
      <c r="X60" s="312"/>
      <c r="Y60" s="312"/>
      <c r="Z60" s="312"/>
      <c r="AA60" s="312"/>
      <c r="AB60" s="311">
        <f>346.16/174978.59</f>
        <v>1.9782991736303282E-3</v>
      </c>
      <c r="AC60" s="311">
        <v>2E-3</v>
      </c>
      <c r="AD60" s="311"/>
      <c r="AE60" s="311"/>
      <c r="AF60" s="311"/>
      <c r="AG60" s="311"/>
      <c r="AH60" s="311">
        <v>1E-3</v>
      </c>
      <c r="AI60" s="311">
        <v>3.0000000000000001E-3</v>
      </c>
      <c r="AJ60" s="311">
        <v>2E-3</v>
      </c>
      <c r="AK60" s="311">
        <v>1E-3</v>
      </c>
    </row>
    <row r="61" spans="1:37">
      <c r="B61" s="314" t="s">
        <v>176</v>
      </c>
      <c r="C61" s="64"/>
      <c r="D61" s="310" t="s">
        <v>147</v>
      </c>
      <c r="E61" s="64"/>
      <c r="F61" s="64"/>
      <c r="G61" s="64"/>
      <c r="H61" s="64"/>
      <c r="I61" s="64"/>
      <c r="J61" s="311"/>
      <c r="K61" s="311"/>
      <c r="L61" s="311"/>
      <c r="M61" s="312"/>
      <c r="N61" s="312"/>
      <c r="O61" s="312"/>
      <c r="P61" s="312"/>
      <c r="Q61" s="312"/>
      <c r="R61" s="311">
        <f>-5590.84/290212.04</f>
        <v>-1.9264672823360467E-2</v>
      </c>
      <c r="S61" s="312"/>
      <c r="T61" s="312"/>
      <c r="U61" s="312"/>
      <c r="V61" s="312"/>
      <c r="W61" s="311">
        <f>-3844.73/220511.87</f>
        <v>-1.7435478643394571E-2</v>
      </c>
      <c r="X61" s="312"/>
      <c r="Y61" s="312"/>
      <c r="Z61" s="312"/>
      <c r="AA61" s="312"/>
      <c r="AB61" s="311"/>
      <c r="AC61" s="311"/>
      <c r="AD61" s="311">
        <v>-0.54039999999999999</v>
      </c>
      <c r="AE61" s="311"/>
      <c r="AF61" s="311"/>
      <c r="AG61" s="311"/>
      <c r="AH61" s="311"/>
      <c r="AI61" s="311"/>
      <c r="AJ61" s="311"/>
      <c r="AK61" s="311"/>
    </row>
    <row r="62" spans="1:37">
      <c r="B62" s="313" t="s">
        <v>177</v>
      </c>
      <c r="C62" s="64"/>
      <c r="D62" s="310" t="s">
        <v>147</v>
      </c>
      <c r="E62" s="64"/>
      <c r="F62" s="64"/>
      <c r="G62" s="64"/>
      <c r="H62" s="64"/>
      <c r="I62" s="64"/>
      <c r="J62" s="311">
        <f>-17464.4/393465.68</f>
        <v>-4.4386082160965096E-2</v>
      </c>
      <c r="K62" s="311">
        <f>-5483.31/326152.13</f>
        <v>-1.6812123839264826E-2</v>
      </c>
      <c r="L62" s="311">
        <f>-2807.8/408786.55</f>
        <v>-6.8686212890321377E-3</v>
      </c>
      <c r="M62" s="312"/>
      <c r="N62" s="312"/>
      <c r="O62" s="312"/>
      <c r="P62" s="312"/>
      <c r="Q62" s="312"/>
      <c r="R62" s="311"/>
      <c r="S62" s="312"/>
      <c r="T62" s="312"/>
      <c r="U62" s="312"/>
      <c r="V62" s="312"/>
      <c r="W62" s="311">
        <f>-49195.09/220511.87</f>
        <v>-0.22309497443380258</v>
      </c>
      <c r="X62" s="312"/>
      <c r="Y62" s="312"/>
      <c r="Z62" s="312"/>
      <c r="AA62" s="312"/>
      <c r="AB62" s="311">
        <f>9912.02/174978.59</f>
        <v>5.6647044647005103E-2</v>
      </c>
      <c r="AC62" s="311">
        <v>-5.5E-2</v>
      </c>
      <c r="AD62" s="311">
        <v>-5.3800000000000001E-2</v>
      </c>
      <c r="AE62" s="311"/>
      <c r="AF62" s="311"/>
      <c r="AG62" s="311"/>
      <c r="AH62" s="311"/>
      <c r="AI62" s="311"/>
      <c r="AJ62" s="311"/>
      <c r="AK62" s="311"/>
    </row>
    <row r="63" spans="1:37">
      <c r="B63" s="308"/>
      <c r="J63" s="246"/>
      <c r="K63" s="246"/>
      <c r="L63" s="246"/>
      <c r="M63" s="309"/>
      <c r="N63" s="309"/>
      <c r="O63" s="309"/>
      <c r="P63" s="309"/>
      <c r="Q63" s="309"/>
      <c r="R63" s="246"/>
      <c r="S63" s="309"/>
      <c r="T63" s="309"/>
      <c r="U63" s="309"/>
      <c r="V63" s="309"/>
      <c r="W63" s="246"/>
      <c r="X63" s="309"/>
      <c r="Y63" s="309"/>
      <c r="Z63" s="309"/>
      <c r="AA63" s="309"/>
      <c r="AB63" s="246"/>
      <c r="AC63" s="246"/>
      <c r="AD63" s="246"/>
      <c r="AE63" s="246"/>
      <c r="AF63" s="246"/>
      <c r="AG63" s="246"/>
      <c r="AH63" s="246"/>
      <c r="AI63" s="246"/>
      <c r="AJ63" s="246"/>
      <c r="AK63" s="246"/>
    </row>
    <row r="64" spans="1:37">
      <c r="A64" s="9"/>
      <c r="B64" s="315" t="s">
        <v>169</v>
      </c>
      <c r="C64" s="316"/>
      <c r="D64" s="317" t="s">
        <v>148</v>
      </c>
      <c r="E64" s="316"/>
      <c r="F64" s="316"/>
      <c r="G64" s="316"/>
      <c r="H64" s="316"/>
      <c r="I64" s="316"/>
      <c r="J64" s="318">
        <f>-4910.21/301366.4</f>
        <v>-1.6293156768637778E-2</v>
      </c>
      <c r="K64" s="318">
        <f>-21243.17/285876.44</f>
        <v>-7.4308921714570111E-2</v>
      </c>
      <c r="L64" s="318">
        <f>-12954.47/301918.38</f>
        <v>-4.2907192334564061E-2</v>
      </c>
      <c r="M64" s="319"/>
      <c r="N64" s="319"/>
      <c r="O64" s="319"/>
      <c r="P64" s="319"/>
      <c r="Q64" s="319"/>
      <c r="R64" s="318">
        <f>-13621.79/390678.39</f>
        <v>-3.4867016831926639E-2</v>
      </c>
      <c r="S64" s="319"/>
      <c r="T64" s="319"/>
      <c r="U64" s="319"/>
      <c r="V64" s="319"/>
      <c r="W64" s="318">
        <f>-9604.16/533151.8</f>
        <v>-1.8013931491931565E-2</v>
      </c>
      <c r="X64" s="319"/>
      <c r="Y64" s="319"/>
      <c r="Z64" s="319"/>
      <c r="AA64" s="319"/>
      <c r="AB64" s="318">
        <f>-27766.74/509001.66</f>
        <v>-5.4551374154654039E-2</v>
      </c>
      <c r="AC64" s="318">
        <v>-4.2000000000000003E-2</v>
      </c>
      <c r="AD64" s="318">
        <v>-6.6100000000000006E-2</v>
      </c>
      <c r="AE64" s="318">
        <v>-8.5999999999999993E-2</v>
      </c>
      <c r="AF64" s="318">
        <v>-0.111</v>
      </c>
      <c r="AG64" s="318">
        <v>-6.3E-2</v>
      </c>
      <c r="AH64" s="318">
        <v>-6.4000000000000001E-2</v>
      </c>
      <c r="AI64" s="318">
        <v>-5.8999999999999997E-2</v>
      </c>
      <c r="AJ64" s="318">
        <v>-0.04</v>
      </c>
      <c r="AK64" s="318">
        <v>3.0000000000000001E-3</v>
      </c>
    </row>
    <row r="65" spans="1:37">
      <c r="A65" s="9"/>
      <c r="B65" s="320" t="s">
        <v>170</v>
      </c>
      <c r="C65" s="316"/>
      <c r="D65" s="317" t="s">
        <v>148</v>
      </c>
      <c r="E65" s="316"/>
      <c r="F65" s="316"/>
      <c r="G65" s="316"/>
      <c r="H65" s="316"/>
      <c r="I65" s="316"/>
      <c r="J65" s="318"/>
      <c r="K65" s="318"/>
      <c r="L65" s="318"/>
      <c r="M65" s="319"/>
      <c r="N65" s="319"/>
      <c r="O65" s="319"/>
      <c r="P65" s="319"/>
      <c r="Q65" s="319"/>
      <c r="R65" s="318"/>
      <c r="S65" s="319"/>
      <c r="T65" s="319"/>
      <c r="U65" s="319"/>
      <c r="V65" s="319"/>
      <c r="W65" s="318"/>
      <c r="X65" s="319"/>
      <c r="Y65" s="319"/>
      <c r="Z65" s="319"/>
      <c r="AA65" s="319"/>
      <c r="AB65" s="318">
        <f>-2614.94/509001.66</f>
        <v>-5.1373899252116391E-3</v>
      </c>
      <c r="AC65" s="318">
        <v>4.0000000000000001E-3</v>
      </c>
      <c r="AD65" s="318"/>
      <c r="AE65" s="318"/>
      <c r="AF65" s="318"/>
      <c r="AG65" s="318"/>
      <c r="AH65" s="318"/>
      <c r="AI65" s="318"/>
      <c r="AJ65" s="318"/>
      <c r="AK65" s="318"/>
    </row>
    <row r="66" spans="1:37">
      <c r="A66" s="9"/>
      <c r="B66" s="315" t="s">
        <v>171</v>
      </c>
      <c r="C66" s="316"/>
      <c r="D66" s="317" t="s">
        <v>148</v>
      </c>
      <c r="E66" s="316"/>
      <c r="F66" s="316"/>
      <c r="G66" s="316"/>
      <c r="H66" s="316"/>
      <c r="I66" s="316"/>
      <c r="J66" s="318"/>
      <c r="K66" s="318"/>
      <c r="L66" s="318"/>
      <c r="M66" s="319"/>
      <c r="N66" s="319"/>
      <c r="O66" s="319"/>
      <c r="P66" s="319"/>
      <c r="Q66" s="319"/>
      <c r="R66" s="318"/>
      <c r="S66" s="319"/>
      <c r="T66" s="319"/>
      <c r="U66" s="319"/>
      <c r="V66" s="319"/>
      <c r="W66" s="318"/>
      <c r="X66" s="319"/>
      <c r="Y66" s="319"/>
      <c r="Z66" s="319"/>
      <c r="AA66" s="319"/>
      <c r="AB66" s="318"/>
      <c r="AC66" s="318"/>
      <c r="AD66" s="318">
        <v>-1.23E-2</v>
      </c>
      <c r="AE66" s="318"/>
      <c r="AF66" s="318">
        <v>-1E-3</v>
      </c>
      <c r="AG66" s="318">
        <v>-1E-3</v>
      </c>
      <c r="AH66" s="318"/>
      <c r="AI66" s="318">
        <v>-2E-3</v>
      </c>
      <c r="AJ66" s="318">
        <v>-2E-3</v>
      </c>
      <c r="AK66" s="318"/>
    </row>
    <row r="67" spans="1:37">
      <c r="A67" s="9"/>
      <c r="B67" s="315" t="s">
        <v>172</v>
      </c>
      <c r="C67" s="316"/>
      <c r="D67" s="317" t="s">
        <v>148</v>
      </c>
      <c r="E67" s="316"/>
      <c r="F67" s="316"/>
      <c r="G67" s="316"/>
      <c r="H67" s="316"/>
      <c r="I67" s="316"/>
      <c r="J67" s="318"/>
      <c r="K67" s="318">
        <f>-3061.66/285876.44</f>
        <v>-1.07097317988149E-2</v>
      </c>
      <c r="L67" s="318">
        <f>-41.07/301918.38</f>
        <v>-1.3603014165616549E-4</v>
      </c>
      <c r="M67" s="319"/>
      <c r="N67" s="319"/>
      <c r="O67" s="319"/>
      <c r="P67" s="319"/>
      <c r="Q67" s="319"/>
      <c r="R67" s="318"/>
      <c r="S67" s="319"/>
      <c r="T67" s="319"/>
      <c r="U67" s="319"/>
      <c r="V67" s="319"/>
      <c r="W67" s="318"/>
      <c r="X67" s="319"/>
      <c r="Y67" s="319"/>
      <c r="Z67" s="319"/>
      <c r="AA67" s="319"/>
      <c r="AB67" s="318"/>
      <c r="AC67" s="318"/>
      <c r="AD67" s="318"/>
      <c r="AE67" s="318"/>
      <c r="AF67" s="318"/>
      <c r="AG67" s="318"/>
      <c r="AH67" s="318"/>
      <c r="AI67" s="318"/>
      <c r="AJ67" s="318"/>
      <c r="AK67" s="318"/>
    </row>
    <row r="68" spans="1:37">
      <c r="A68" s="9"/>
      <c r="B68" s="315" t="s">
        <v>178</v>
      </c>
      <c r="C68" s="316"/>
      <c r="D68" s="317" t="s">
        <v>148</v>
      </c>
      <c r="E68" s="316"/>
      <c r="F68" s="316"/>
      <c r="G68" s="316"/>
      <c r="H68" s="316"/>
      <c r="I68" s="316"/>
      <c r="J68" s="318"/>
      <c r="K68" s="318"/>
      <c r="L68" s="318"/>
      <c r="M68" s="319"/>
      <c r="N68" s="319"/>
      <c r="O68" s="319"/>
      <c r="P68" s="319"/>
      <c r="Q68" s="319"/>
      <c r="R68" s="318"/>
      <c r="S68" s="319"/>
      <c r="T68" s="319"/>
      <c r="U68" s="319"/>
      <c r="V68" s="319"/>
      <c r="W68" s="318"/>
      <c r="X68" s="319"/>
      <c r="Y68" s="319"/>
      <c r="Z68" s="319"/>
      <c r="AA68" s="319"/>
      <c r="AB68" s="318"/>
      <c r="AC68" s="318"/>
      <c r="AD68" s="318"/>
      <c r="AE68" s="318"/>
      <c r="AF68" s="318"/>
      <c r="AG68" s="318">
        <v>-3.0000000000000001E-3</v>
      </c>
      <c r="AH68" s="318"/>
      <c r="AI68" s="318">
        <v>-3.0000000000000001E-3</v>
      </c>
      <c r="AJ68" s="318"/>
      <c r="AK68" s="318">
        <v>1.2E-2</v>
      </c>
    </row>
    <row r="69" spans="1:37">
      <c r="A69" s="9"/>
      <c r="B69" s="315" t="s">
        <v>173</v>
      </c>
      <c r="C69" s="316"/>
      <c r="D69" s="317" t="s">
        <v>148</v>
      </c>
      <c r="E69" s="316"/>
      <c r="F69" s="316"/>
      <c r="G69" s="316"/>
      <c r="H69" s="316"/>
      <c r="I69" s="316"/>
      <c r="J69" s="318"/>
      <c r="K69" s="318"/>
      <c r="L69" s="318"/>
      <c r="M69" s="319"/>
      <c r="N69" s="319"/>
      <c r="O69" s="319"/>
      <c r="P69" s="319"/>
      <c r="Q69" s="319"/>
      <c r="R69" s="318"/>
      <c r="S69" s="319"/>
      <c r="T69" s="319"/>
      <c r="U69" s="319"/>
      <c r="V69" s="319"/>
      <c r="W69" s="318"/>
      <c r="X69" s="319"/>
      <c r="Y69" s="319"/>
      <c r="Z69" s="319"/>
      <c r="AA69" s="319"/>
      <c r="AB69" s="318"/>
      <c r="AC69" s="318"/>
      <c r="AD69" s="318"/>
      <c r="AE69" s="318"/>
      <c r="AF69" s="318"/>
      <c r="AG69" s="318">
        <v>-1.0999999999999999E-2</v>
      </c>
      <c r="AH69" s="318"/>
      <c r="AI69" s="318"/>
      <c r="AJ69" s="318"/>
      <c r="AK69" s="318">
        <v>-2E-3</v>
      </c>
    </row>
    <row r="70" spans="1:37">
      <c r="B70" s="320" t="s">
        <v>174</v>
      </c>
      <c r="C70" s="316"/>
      <c r="D70" s="317" t="s">
        <v>148</v>
      </c>
      <c r="E70" s="316"/>
      <c r="F70" s="316"/>
      <c r="G70" s="316"/>
      <c r="H70" s="316"/>
      <c r="I70" s="316"/>
      <c r="J70" s="318">
        <f>-5807.03/301366.4</f>
        <v>-1.9269002781995601E-2</v>
      </c>
      <c r="K70" s="318">
        <f>-5607.48/285876.44</f>
        <v>-1.9615047675842052E-2</v>
      </c>
      <c r="L70" s="318">
        <f>-5904.35/301918.38</f>
        <v>-1.9556113145546158E-2</v>
      </c>
      <c r="M70" s="319"/>
      <c r="N70" s="319"/>
      <c r="O70" s="319"/>
      <c r="P70" s="319"/>
      <c r="Q70" s="319"/>
      <c r="R70" s="318">
        <f>-4260.36/390678.39</f>
        <v>-1.0905031117794868E-2</v>
      </c>
      <c r="S70" s="319"/>
      <c r="T70" s="319"/>
      <c r="U70" s="319"/>
      <c r="V70" s="319"/>
      <c r="W70" s="318">
        <f>-2803.76/533151.8</f>
        <v>-5.2588399776573947E-3</v>
      </c>
      <c r="X70" s="319"/>
      <c r="Y70" s="319"/>
      <c r="Z70" s="319"/>
      <c r="AA70" s="319"/>
      <c r="AB70" s="318">
        <f>(-2043.39-64.26)/509001.66</f>
        <v>-4.1407527040285101E-3</v>
      </c>
      <c r="AC70" s="318">
        <v>-3.0000000000000001E-3</v>
      </c>
      <c r="AD70" s="318">
        <v>-2.5000000000000001E-3</v>
      </c>
      <c r="AE70" s="318">
        <v>-2E-3</v>
      </c>
      <c r="AF70" s="318">
        <v>-2E-3</v>
      </c>
      <c r="AG70" s="318">
        <v>-2E-3</v>
      </c>
      <c r="AH70" s="318">
        <v>-2E-3</v>
      </c>
      <c r="AI70" s="318">
        <v>-2E-3</v>
      </c>
      <c r="AJ70" s="318">
        <v>-1E-3</v>
      </c>
      <c r="AK70" s="318"/>
    </row>
    <row r="71" spans="1:37">
      <c r="B71" s="315" t="s">
        <v>175</v>
      </c>
      <c r="C71" s="316"/>
      <c r="D71" s="317" t="s">
        <v>148</v>
      </c>
      <c r="E71" s="316"/>
      <c r="F71" s="316"/>
      <c r="G71" s="316"/>
      <c r="H71" s="316"/>
      <c r="I71" s="316"/>
      <c r="J71" s="318"/>
      <c r="K71" s="318"/>
      <c r="L71" s="318"/>
      <c r="M71" s="319"/>
      <c r="N71" s="319"/>
      <c r="O71" s="319"/>
      <c r="P71" s="319"/>
      <c r="Q71" s="319"/>
      <c r="R71" s="318"/>
      <c r="S71" s="319"/>
      <c r="T71" s="319"/>
      <c r="U71" s="319"/>
      <c r="V71" s="319"/>
      <c r="W71" s="318">
        <f>383.78/533151.8</f>
        <v>7.1983251299160937E-4</v>
      </c>
      <c r="X71" s="319"/>
      <c r="Y71" s="319"/>
      <c r="Z71" s="319"/>
      <c r="AA71" s="319"/>
      <c r="AB71" s="318"/>
      <c r="AC71" s="318"/>
      <c r="AD71" s="318"/>
      <c r="AE71" s="318">
        <v>8.0000000000000002E-3</v>
      </c>
      <c r="AF71" s="318"/>
      <c r="AG71" s="318"/>
      <c r="AH71" s="318"/>
      <c r="AI71" s="318"/>
      <c r="AJ71" s="318"/>
      <c r="AK71" s="318">
        <v>-3.0000000000000001E-3</v>
      </c>
    </row>
    <row r="72" spans="1:37">
      <c r="B72" s="315" t="s">
        <v>176</v>
      </c>
      <c r="C72" s="316"/>
      <c r="D72" s="317" t="s">
        <v>148</v>
      </c>
      <c r="E72" s="316"/>
      <c r="F72" s="316"/>
      <c r="G72" s="316"/>
      <c r="H72" s="316"/>
      <c r="I72" s="316"/>
      <c r="J72" s="318"/>
      <c r="K72" s="318"/>
      <c r="L72" s="318"/>
      <c r="M72" s="319"/>
      <c r="N72" s="319"/>
      <c r="O72" s="319"/>
      <c r="P72" s="319"/>
      <c r="Q72" s="319"/>
      <c r="R72" s="318"/>
      <c r="S72" s="319"/>
      <c r="T72" s="319"/>
      <c r="U72" s="319"/>
      <c r="V72" s="319"/>
      <c r="W72" s="318"/>
      <c r="X72" s="319"/>
      <c r="Y72" s="319"/>
      <c r="Z72" s="319"/>
      <c r="AA72" s="319"/>
      <c r="AB72" s="318">
        <f>-4664.89/509001.66</f>
        <v>-9.1647834704507661E-3</v>
      </c>
      <c r="AC72" s="318">
        <v>-0.01</v>
      </c>
      <c r="AD72" s="318">
        <v>-8.5300000000000001E-2</v>
      </c>
      <c r="AE72" s="318">
        <v>-8.0000000000000002E-3</v>
      </c>
      <c r="AF72" s="318"/>
      <c r="AG72" s="318"/>
      <c r="AH72" s="318"/>
      <c r="AI72" s="318"/>
      <c r="AJ72" s="318"/>
      <c r="AK72" s="318"/>
    </row>
    <row r="73" spans="1:37">
      <c r="B73" s="320" t="s">
        <v>177</v>
      </c>
      <c r="C73" s="316"/>
      <c r="D73" s="317" t="s">
        <v>148</v>
      </c>
      <c r="E73" s="316"/>
      <c r="F73" s="316"/>
      <c r="G73" s="316"/>
      <c r="H73" s="316"/>
      <c r="I73" s="316"/>
      <c r="J73" s="318"/>
      <c r="K73" s="318">
        <f>-12055.56/285876.44</f>
        <v>-4.2170526539367842E-2</v>
      </c>
      <c r="L73" s="318"/>
      <c r="M73" s="319"/>
      <c r="N73" s="319"/>
      <c r="O73" s="319"/>
      <c r="P73" s="319"/>
      <c r="Q73" s="319"/>
      <c r="R73" s="318">
        <f>-5843.94/390678.39</f>
        <v>-1.4958441904094054E-2</v>
      </c>
      <c r="S73" s="319"/>
      <c r="T73" s="319"/>
      <c r="U73" s="319"/>
      <c r="V73" s="319"/>
      <c r="W73" s="318"/>
      <c r="X73" s="319"/>
      <c r="Y73" s="319"/>
      <c r="Z73" s="319"/>
      <c r="AA73" s="319"/>
      <c r="AB73" s="318">
        <f>-1855.7/509001.66</f>
        <v>-3.6457641415157667E-3</v>
      </c>
      <c r="AC73" s="318">
        <v>-1.7999999999999999E-2</v>
      </c>
      <c r="AD73" s="318">
        <v>-4.7699999999999999E-2</v>
      </c>
      <c r="AE73" s="318"/>
      <c r="AF73" s="318"/>
      <c r="AG73" s="318"/>
      <c r="AH73" s="318"/>
      <c r="AI73" s="318"/>
      <c r="AJ73" s="318"/>
      <c r="AK73" s="318"/>
    </row>
    <row r="74" spans="1:37">
      <c r="B74" s="177"/>
      <c r="D74" s="9"/>
      <c r="J74" s="246"/>
      <c r="K74" s="246"/>
      <c r="L74" s="246"/>
      <c r="M74" s="309"/>
      <c r="N74" s="309"/>
      <c r="O74" s="309"/>
      <c r="P74" s="309"/>
      <c r="Q74" s="309"/>
      <c r="R74" s="246"/>
      <c r="S74" s="309"/>
      <c r="T74" s="309"/>
      <c r="U74" s="309"/>
      <c r="V74" s="309"/>
      <c r="W74" s="246"/>
      <c r="X74" s="309"/>
      <c r="Y74" s="309"/>
      <c r="Z74" s="309"/>
      <c r="AA74" s="309"/>
      <c r="AB74" s="246"/>
      <c r="AC74" s="246"/>
      <c r="AD74" s="246"/>
      <c r="AE74" s="246"/>
      <c r="AF74" s="246"/>
      <c r="AG74" s="246"/>
      <c r="AH74" s="246"/>
      <c r="AI74" s="246"/>
      <c r="AJ74" s="246"/>
      <c r="AK74" s="246"/>
    </row>
    <row r="75" spans="1:37">
      <c r="A75" s="9"/>
      <c r="B75" s="314" t="s">
        <v>170</v>
      </c>
      <c r="C75" s="64"/>
      <c r="D75" s="310" t="s">
        <v>151</v>
      </c>
      <c r="E75" s="64"/>
      <c r="F75" s="64"/>
      <c r="G75" s="64"/>
      <c r="H75" s="64"/>
      <c r="I75" s="64"/>
      <c r="J75" s="311"/>
      <c r="K75" s="311"/>
      <c r="L75" s="311"/>
      <c r="M75" s="312"/>
      <c r="N75" s="312"/>
      <c r="O75" s="312"/>
      <c r="P75" s="312"/>
      <c r="Q75" s="312"/>
      <c r="R75" s="311"/>
      <c r="S75" s="312"/>
      <c r="T75" s="312"/>
      <c r="U75" s="312"/>
      <c r="V75" s="312"/>
      <c r="W75" s="311"/>
      <c r="X75" s="312"/>
      <c r="Y75" s="312"/>
      <c r="Z75" s="312"/>
      <c r="AA75" s="312"/>
      <c r="AB75" s="311"/>
      <c r="AC75" s="311">
        <v>-6.7000000000000004E-2</v>
      </c>
      <c r="AD75" s="311">
        <v>-5.2299999999999999E-2</v>
      </c>
      <c r="AE75" s="311"/>
      <c r="AF75" s="311"/>
      <c r="AG75" s="311"/>
      <c r="AH75" s="311"/>
      <c r="AI75" s="311"/>
      <c r="AJ75" s="311"/>
      <c r="AK75" s="311"/>
    </row>
    <row r="76" spans="1:37">
      <c r="B76" s="314" t="s">
        <v>174</v>
      </c>
      <c r="C76" s="64"/>
      <c r="D76" s="310" t="s">
        <v>151</v>
      </c>
      <c r="E76" s="64"/>
      <c r="F76" s="64"/>
      <c r="G76" s="64"/>
      <c r="H76" s="64"/>
      <c r="I76" s="64"/>
      <c r="J76" s="311"/>
      <c r="K76" s="311"/>
      <c r="L76" s="311"/>
      <c r="M76" s="312"/>
      <c r="N76" s="312"/>
      <c r="O76" s="312"/>
      <c r="P76" s="312"/>
      <c r="Q76" s="312"/>
      <c r="R76" s="311"/>
      <c r="S76" s="312"/>
      <c r="T76" s="312"/>
      <c r="U76" s="312"/>
      <c r="V76" s="312"/>
      <c r="W76" s="311"/>
      <c r="X76" s="312"/>
      <c r="Y76" s="312"/>
      <c r="Z76" s="312"/>
      <c r="AA76" s="312"/>
      <c r="AB76" s="311"/>
      <c r="AC76" s="311">
        <v>-7.0000000000000001E-3</v>
      </c>
      <c r="AD76" s="311">
        <v>-9.5999999999999992E-3</v>
      </c>
      <c r="AE76" s="311"/>
      <c r="AF76" s="311"/>
      <c r="AG76" s="311"/>
      <c r="AH76" s="311"/>
      <c r="AI76" s="311"/>
      <c r="AJ76" s="311"/>
      <c r="AK76" s="311"/>
    </row>
    <row r="77" spans="1:37">
      <c r="B77" s="308"/>
      <c r="J77" s="246"/>
      <c r="K77" s="246"/>
      <c r="L77" s="246"/>
      <c r="M77" s="309"/>
      <c r="N77" s="309"/>
      <c r="O77" s="309"/>
      <c r="P77" s="309"/>
      <c r="Q77" s="309"/>
      <c r="R77" s="246"/>
      <c r="S77" s="309"/>
      <c r="T77" s="309"/>
      <c r="U77" s="309"/>
      <c r="V77" s="309"/>
      <c r="W77" s="246"/>
      <c r="X77" s="309"/>
      <c r="Y77" s="309"/>
      <c r="Z77" s="309"/>
      <c r="AA77" s="309"/>
      <c r="AB77" s="246"/>
      <c r="AC77" s="246"/>
      <c r="AD77" s="246"/>
      <c r="AE77" s="246"/>
      <c r="AF77" s="246"/>
      <c r="AG77" s="246"/>
      <c r="AH77" s="246"/>
      <c r="AI77" s="246"/>
      <c r="AJ77" s="246"/>
      <c r="AK77" s="246"/>
    </row>
    <row r="78" spans="1:37">
      <c r="B78" s="315" t="s">
        <v>170</v>
      </c>
      <c r="C78" s="316"/>
      <c r="D78" s="317" t="s">
        <v>153</v>
      </c>
      <c r="E78" s="316"/>
      <c r="F78" s="316"/>
      <c r="G78" s="316"/>
      <c r="H78" s="316"/>
      <c r="I78" s="316"/>
      <c r="J78" s="318"/>
      <c r="K78" s="318"/>
      <c r="L78" s="318"/>
      <c r="M78" s="319"/>
      <c r="N78" s="319"/>
      <c r="O78" s="319"/>
      <c r="P78" s="319"/>
      <c r="Q78" s="319"/>
      <c r="R78" s="318"/>
      <c r="S78" s="319"/>
      <c r="T78" s="319"/>
      <c r="U78" s="319"/>
      <c r="V78" s="319"/>
      <c r="W78" s="318">
        <f>-356.58/683181.92</f>
        <v>-5.2194004197300768E-4</v>
      </c>
      <c r="X78" s="319"/>
      <c r="Y78" s="319"/>
      <c r="Z78" s="319"/>
      <c r="AA78" s="319"/>
      <c r="AB78" s="318">
        <f>-5003.19/691280.76</f>
        <v>-7.2375658191325904E-3</v>
      </c>
      <c r="AC78" s="318">
        <v>-6.0000000000000001E-3</v>
      </c>
      <c r="AD78" s="318"/>
      <c r="AE78" s="318"/>
      <c r="AF78" s="318"/>
      <c r="AG78" s="318">
        <v>-1E-3</v>
      </c>
      <c r="AH78" s="318">
        <v>-1E-3</v>
      </c>
      <c r="AI78" s="318">
        <v>-1E-3</v>
      </c>
      <c r="AJ78" s="318">
        <v>-1E-3</v>
      </c>
      <c r="AK78" s="318">
        <v>-1E-3</v>
      </c>
    </row>
    <row r="79" spans="1:37">
      <c r="B79" s="315" t="s">
        <v>171</v>
      </c>
      <c r="C79" s="316"/>
      <c r="D79" s="317" t="s">
        <v>153</v>
      </c>
      <c r="E79" s="316"/>
      <c r="F79" s="316"/>
      <c r="G79" s="316"/>
      <c r="H79" s="316"/>
      <c r="I79" s="316"/>
      <c r="J79" s="318"/>
      <c r="K79" s="318"/>
      <c r="L79" s="318"/>
      <c r="M79" s="319"/>
      <c r="N79" s="319"/>
      <c r="O79" s="319"/>
      <c r="P79" s="319"/>
      <c r="Q79" s="319"/>
      <c r="R79" s="318"/>
      <c r="S79" s="319"/>
      <c r="T79" s="319"/>
      <c r="U79" s="319"/>
      <c r="V79" s="319"/>
      <c r="W79" s="318"/>
      <c r="X79" s="319"/>
      <c r="Y79" s="319"/>
      <c r="Z79" s="319"/>
      <c r="AA79" s="319"/>
      <c r="AB79" s="318"/>
      <c r="AC79" s="318"/>
      <c r="AD79" s="318">
        <v>5.7000000000000002E-3</v>
      </c>
      <c r="AE79" s="318">
        <v>2.7E-2</v>
      </c>
      <c r="AF79" s="318">
        <v>-4.0000000000000001E-3</v>
      </c>
      <c r="AG79" s="318">
        <v>-3.0000000000000001E-3</v>
      </c>
      <c r="AH79" s="318">
        <v>-1E-3</v>
      </c>
      <c r="AI79" s="318">
        <v>2.8000000000000001E-2</v>
      </c>
      <c r="AJ79" s="318">
        <v>-7.0000000000000001E-3</v>
      </c>
      <c r="AK79" s="318">
        <v>-2E-3</v>
      </c>
    </row>
    <row r="80" spans="1:37">
      <c r="A80" s="9"/>
      <c r="B80" s="315" t="s">
        <v>179</v>
      </c>
      <c r="C80" s="316"/>
      <c r="D80" s="317" t="s">
        <v>153</v>
      </c>
      <c r="E80" s="316"/>
      <c r="F80" s="316"/>
      <c r="G80" s="316"/>
      <c r="H80" s="316"/>
      <c r="I80" s="316"/>
      <c r="J80" s="318"/>
      <c r="K80" s="318"/>
      <c r="L80" s="318"/>
      <c r="M80" s="319"/>
      <c r="N80" s="319"/>
      <c r="O80" s="319"/>
      <c r="P80" s="319"/>
      <c r="Q80" s="319"/>
      <c r="R80" s="318"/>
      <c r="S80" s="319"/>
      <c r="T80" s="319"/>
      <c r="U80" s="319"/>
      <c r="V80" s="319"/>
      <c r="W80" s="318"/>
      <c r="X80" s="319"/>
      <c r="Y80" s="319"/>
      <c r="Z80" s="319"/>
      <c r="AA80" s="319"/>
      <c r="AB80" s="318"/>
      <c r="AC80" s="318"/>
      <c r="AD80" s="318"/>
      <c r="AE80" s="318"/>
      <c r="AF80" s="318">
        <v>-2.1999999999999999E-2</v>
      </c>
      <c r="AG80" s="318"/>
      <c r="AH80" s="318">
        <v>-0.06</v>
      </c>
      <c r="AI80" s="318"/>
      <c r="AJ80" s="318"/>
      <c r="AK80" s="318">
        <v>-8.0000000000000002E-3</v>
      </c>
    </row>
    <row r="81" spans="1:37">
      <c r="A81" s="9"/>
      <c r="B81" s="315" t="s">
        <v>180</v>
      </c>
      <c r="C81" s="316"/>
      <c r="D81" s="317" t="s">
        <v>153</v>
      </c>
      <c r="E81" s="316"/>
      <c r="F81" s="316"/>
      <c r="G81" s="316"/>
      <c r="H81" s="316"/>
      <c r="I81" s="316"/>
      <c r="J81" s="318"/>
      <c r="K81" s="318"/>
      <c r="L81" s="318"/>
      <c r="M81" s="319"/>
      <c r="N81" s="319"/>
      <c r="O81" s="319"/>
      <c r="P81" s="319"/>
      <c r="Q81" s="319"/>
      <c r="R81" s="318"/>
      <c r="S81" s="319"/>
      <c r="T81" s="319"/>
      <c r="U81" s="319"/>
      <c r="V81" s="319"/>
      <c r="W81" s="318"/>
      <c r="X81" s="319"/>
      <c r="Y81" s="319"/>
      <c r="Z81" s="319"/>
      <c r="AA81" s="319"/>
      <c r="AB81" s="318"/>
      <c r="AC81" s="318"/>
      <c r="AD81" s="318"/>
      <c r="AE81" s="318"/>
      <c r="AF81" s="318"/>
      <c r="AG81" s="318">
        <v>-6.0000000000000001E-3</v>
      </c>
      <c r="AH81" s="318">
        <v>-0.02</v>
      </c>
      <c r="AI81" s="318"/>
      <c r="AJ81" s="318"/>
      <c r="AK81" s="318">
        <v>8.0000000000000002E-3</v>
      </c>
    </row>
    <row r="82" spans="1:37">
      <c r="A82" s="9"/>
      <c r="B82" s="315" t="s">
        <v>178</v>
      </c>
      <c r="C82" s="316"/>
      <c r="D82" s="317" t="s">
        <v>153</v>
      </c>
      <c r="E82" s="316"/>
      <c r="F82" s="316"/>
      <c r="G82" s="316"/>
      <c r="H82" s="316"/>
      <c r="I82" s="316"/>
      <c r="J82" s="318"/>
      <c r="K82" s="318"/>
      <c r="L82" s="318"/>
      <c r="M82" s="319"/>
      <c r="N82" s="319"/>
      <c r="O82" s="319"/>
      <c r="P82" s="319"/>
      <c r="Q82" s="319"/>
      <c r="R82" s="318"/>
      <c r="S82" s="319"/>
      <c r="T82" s="319"/>
      <c r="U82" s="319"/>
      <c r="V82" s="319"/>
      <c r="W82" s="318"/>
      <c r="X82" s="319"/>
      <c r="Y82" s="319"/>
      <c r="Z82" s="319"/>
      <c r="AA82" s="319"/>
      <c r="AB82" s="318"/>
      <c r="AC82" s="318"/>
      <c r="AD82" s="318"/>
      <c r="AE82" s="318"/>
      <c r="AF82" s="318"/>
      <c r="AG82" s="318"/>
      <c r="AH82" s="318"/>
      <c r="AI82" s="318"/>
      <c r="AJ82" s="318"/>
      <c r="AK82" s="318">
        <v>-2E-3</v>
      </c>
    </row>
    <row r="83" spans="1:37">
      <c r="B83" s="315" t="s">
        <v>174</v>
      </c>
      <c r="C83" s="316"/>
      <c r="D83" s="317" t="s">
        <v>153</v>
      </c>
      <c r="E83" s="316"/>
      <c r="F83" s="316"/>
      <c r="G83" s="316"/>
      <c r="H83" s="316"/>
      <c r="I83" s="316"/>
      <c r="J83" s="318">
        <f>-10944.29/593553.6</f>
        <v>-1.8438587517622673E-2</v>
      </c>
      <c r="K83" s="318">
        <f>-9438.19/506665.22</f>
        <v>-1.8628059766960126E-2</v>
      </c>
      <c r="L83" s="318">
        <f>-10245.23/671652.53</f>
        <v>-1.5253765216964192E-2</v>
      </c>
      <c r="M83" s="319"/>
      <c r="N83" s="319"/>
      <c r="O83" s="319"/>
      <c r="P83" s="319"/>
      <c r="Q83" s="319"/>
      <c r="R83" s="318">
        <f>(-10239.02-171.83)/651591.76</f>
        <v>-1.5977565462153787E-2</v>
      </c>
      <c r="S83" s="319"/>
      <c r="T83" s="319"/>
      <c r="U83" s="319"/>
      <c r="V83" s="319"/>
      <c r="W83" s="318">
        <f>(-12183.94-36.38)/683181.92</f>
        <v>-1.7887358611597917E-2</v>
      </c>
      <c r="X83" s="319"/>
      <c r="Y83" s="319"/>
      <c r="Z83" s="319"/>
      <c r="AA83" s="319"/>
      <c r="AB83" s="318">
        <f>(-12028.6-177.56)/691280.76</f>
        <v>-1.765731191477107E-2</v>
      </c>
      <c r="AC83" s="318">
        <v>-1.95E-2</v>
      </c>
      <c r="AD83" s="318">
        <v>-1.8800000000000001E-2</v>
      </c>
      <c r="AE83" s="318">
        <v>-1.7999999999999999E-2</v>
      </c>
      <c r="AF83" s="318">
        <v>-1.7999999999999999E-2</v>
      </c>
      <c r="AG83" s="318">
        <v>-1.7999999999999999E-2</v>
      </c>
      <c r="AH83" s="318">
        <v>-1.7999999999999999E-2</v>
      </c>
      <c r="AI83" s="318">
        <v>-1.9E-2</v>
      </c>
      <c r="AJ83" s="318">
        <v>-1.7999999999999999E-2</v>
      </c>
      <c r="AK83" s="318">
        <v>-1.9E-2</v>
      </c>
    </row>
    <row r="84" spans="1:37">
      <c r="B84" s="315" t="s">
        <v>175</v>
      </c>
      <c r="C84" s="316"/>
      <c r="D84" s="317" t="s">
        <v>153</v>
      </c>
      <c r="E84" s="316"/>
      <c r="F84" s="316"/>
      <c r="G84" s="316"/>
      <c r="H84" s="316"/>
      <c r="I84" s="316"/>
      <c r="J84" s="318">
        <f>13.81/593553.6</f>
        <v>2.3266643484261576E-5</v>
      </c>
      <c r="K84" s="318">
        <f>-0.32/506665.22</f>
        <v>-6.3158075069766977E-7</v>
      </c>
      <c r="L84" s="318">
        <f>1.07/671652.53</f>
        <v>1.5930856390878182E-6</v>
      </c>
      <c r="M84" s="319"/>
      <c r="N84" s="319"/>
      <c r="O84" s="319"/>
      <c r="P84" s="319"/>
      <c r="Q84" s="319"/>
      <c r="R84" s="318">
        <f>-27.75/651591.76</f>
        <v>-4.2588015539054696E-5</v>
      </c>
      <c r="S84" s="319"/>
      <c r="T84" s="319"/>
      <c r="U84" s="319"/>
      <c r="V84" s="319"/>
      <c r="W84" s="318">
        <f>-117.36/683181.92</f>
        <v>-1.7178440553579052E-4</v>
      </c>
      <c r="X84" s="319"/>
      <c r="Y84" s="319"/>
      <c r="Z84" s="319"/>
      <c r="AA84" s="319"/>
      <c r="AB84" s="318">
        <f>7.36/691280.76</f>
        <v>1.0646904160908515E-5</v>
      </c>
      <c r="AC84" s="318"/>
      <c r="AD84" s="318"/>
      <c r="AE84" s="318"/>
      <c r="AF84" s="318"/>
      <c r="AG84" s="318"/>
      <c r="AH84" s="318"/>
      <c r="AI84" s="318"/>
      <c r="AJ84" s="318"/>
      <c r="AK84" s="318"/>
    </row>
    <row r="85" spans="1:37">
      <c r="B85" s="315" t="s">
        <v>176</v>
      </c>
      <c r="C85" s="316"/>
      <c r="D85" s="317" t="s">
        <v>153</v>
      </c>
      <c r="E85" s="316"/>
      <c r="F85" s="316"/>
      <c r="G85" s="316"/>
      <c r="H85" s="316"/>
      <c r="I85" s="316"/>
      <c r="J85" s="318"/>
      <c r="K85" s="318"/>
      <c r="L85" s="318"/>
      <c r="M85" s="319"/>
      <c r="N85" s="319"/>
      <c r="O85" s="319"/>
      <c r="P85" s="319"/>
      <c r="Q85" s="319"/>
      <c r="R85" s="318">
        <f>-78995.24/651591.76</f>
        <v>-0.12123425256329209</v>
      </c>
      <c r="S85" s="319"/>
      <c r="T85" s="319"/>
      <c r="U85" s="319"/>
      <c r="V85" s="319"/>
      <c r="W85" s="318"/>
      <c r="X85" s="319"/>
      <c r="Y85" s="319"/>
      <c r="Z85" s="319"/>
      <c r="AA85" s="319"/>
      <c r="AB85" s="318">
        <f>-3485.58/691280.76</f>
        <v>-5.042206006138519E-3</v>
      </c>
      <c r="AC85" s="318"/>
      <c r="AD85" s="318"/>
      <c r="AE85" s="318"/>
      <c r="AF85" s="318">
        <v>-8.9999999999999993E-3</v>
      </c>
      <c r="AG85" s="318"/>
      <c r="AH85" s="318">
        <v>-1.7999999999999999E-2</v>
      </c>
      <c r="AI85" s="318">
        <v>0.10299999999999999</v>
      </c>
      <c r="AJ85" s="318"/>
      <c r="AK85" s="318"/>
    </row>
    <row r="86" spans="1:37">
      <c r="B86" s="315" t="s">
        <v>177</v>
      </c>
      <c r="C86" s="316"/>
      <c r="D86" s="317" t="s">
        <v>153</v>
      </c>
      <c r="E86" s="316"/>
      <c r="F86" s="316"/>
      <c r="G86" s="316"/>
      <c r="H86" s="316"/>
      <c r="I86" s="316"/>
      <c r="J86" s="318"/>
      <c r="K86" s="318"/>
      <c r="L86" s="318"/>
      <c r="M86" s="319"/>
      <c r="N86" s="319"/>
      <c r="O86" s="319"/>
      <c r="P86" s="319"/>
      <c r="Q86" s="319"/>
      <c r="R86" s="318">
        <f>-22359.05/651591.76</f>
        <v>-3.4314506985171203E-2</v>
      </c>
      <c r="S86" s="319"/>
      <c r="T86" s="319"/>
      <c r="U86" s="319"/>
      <c r="V86" s="319"/>
      <c r="W86" s="318"/>
      <c r="X86" s="319"/>
      <c r="Y86" s="319"/>
      <c r="Z86" s="319"/>
      <c r="AA86" s="319"/>
      <c r="AB86" s="318"/>
      <c r="AC86" s="318"/>
      <c r="AD86" s="318">
        <v>-1E-4</v>
      </c>
      <c r="AE86" s="318"/>
      <c r="AF86" s="318"/>
      <c r="AG86" s="318"/>
      <c r="AH86" s="318"/>
      <c r="AI86" s="318"/>
      <c r="AJ86" s="318"/>
      <c r="AK86" s="318"/>
    </row>
    <row r="87" spans="1:37">
      <c r="B87" s="177"/>
      <c r="J87" s="246"/>
      <c r="K87" s="246"/>
      <c r="L87" s="246"/>
      <c r="M87" s="309"/>
      <c r="N87" s="309"/>
      <c r="O87" s="309"/>
      <c r="P87" s="309"/>
      <c r="Q87" s="309"/>
      <c r="R87" s="246"/>
      <c r="S87" s="309"/>
      <c r="T87" s="309"/>
      <c r="U87" s="309"/>
      <c r="V87" s="309"/>
      <c r="W87" s="246"/>
      <c r="X87" s="309"/>
      <c r="Y87" s="309"/>
      <c r="Z87" s="309"/>
      <c r="AA87" s="309"/>
      <c r="AB87" s="246"/>
      <c r="AC87" s="246"/>
      <c r="AD87" s="246"/>
      <c r="AE87" s="246"/>
      <c r="AF87" s="246"/>
      <c r="AG87" s="246"/>
      <c r="AH87" s="246"/>
      <c r="AI87" s="246"/>
      <c r="AJ87" s="246"/>
      <c r="AK87" s="246"/>
    </row>
    <row r="88" spans="1:37">
      <c r="B88" s="314" t="s">
        <v>170</v>
      </c>
      <c r="C88" s="64"/>
      <c r="D88" s="310" t="s">
        <v>155</v>
      </c>
      <c r="E88" s="64"/>
      <c r="F88" s="64"/>
      <c r="G88" s="64"/>
      <c r="H88" s="64"/>
      <c r="I88" s="64"/>
      <c r="J88" s="311"/>
      <c r="K88" s="311"/>
      <c r="L88" s="311"/>
      <c r="M88" s="312"/>
      <c r="N88" s="312"/>
      <c r="O88" s="312"/>
      <c r="P88" s="312"/>
      <c r="Q88" s="312"/>
      <c r="R88" s="311"/>
      <c r="S88" s="312"/>
      <c r="T88" s="312"/>
      <c r="U88" s="312"/>
      <c r="V88" s="312"/>
      <c r="W88" s="311"/>
      <c r="X88" s="312"/>
      <c r="Y88" s="312"/>
      <c r="Z88" s="312"/>
      <c r="AA88" s="312"/>
      <c r="AB88" s="311">
        <f>-1840.9/15185.25</f>
        <v>-0.12122948255708665</v>
      </c>
      <c r="AC88" s="311"/>
      <c r="AD88" s="311"/>
      <c r="AE88" s="311"/>
      <c r="AF88" s="311"/>
      <c r="AG88" s="311"/>
      <c r="AH88" s="311"/>
      <c r="AI88" s="311"/>
      <c r="AJ88" s="311"/>
      <c r="AK88" s="311"/>
    </row>
    <row r="89" spans="1:37">
      <c r="B89" s="314" t="s">
        <v>178</v>
      </c>
      <c r="C89" s="64"/>
      <c r="D89" s="310" t="s">
        <v>155</v>
      </c>
      <c r="E89" s="64"/>
      <c r="F89" s="64"/>
      <c r="G89" s="64"/>
      <c r="H89" s="64"/>
      <c r="I89" s="64"/>
      <c r="J89" s="311"/>
      <c r="K89" s="311"/>
      <c r="L89" s="311"/>
      <c r="M89" s="312"/>
      <c r="N89" s="312"/>
      <c r="O89" s="312"/>
      <c r="P89" s="312"/>
      <c r="Q89" s="312"/>
      <c r="R89" s="311"/>
      <c r="S89" s="312"/>
      <c r="T89" s="312"/>
      <c r="U89" s="312"/>
      <c r="V89" s="312"/>
      <c r="W89" s="311"/>
      <c r="X89" s="312"/>
      <c r="Y89" s="312"/>
      <c r="Z89" s="312"/>
      <c r="AA89" s="312"/>
      <c r="AB89" s="311"/>
      <c r="AC89" s="311"/>
      <c r="AD89" s="311"/>
      <c r="AE89" s="311"/>
      <c r="AF89" s="311"/>
      <c r="AG89" s="311"/>
      <c r="AH89" s="311">
        <v>2.1000000000000001E-2</v>
      </c>
      <c r="AI89" s="311"/>
      <c r="AJ89" s="311"/>
      <c r="AK89" s="311"/>
    </row>
    <row r="90" spans="1:37">
      <c r="A90" s="9"/>
      <c r="B90" s="314" t="s">
        <v>174</v>
      </c>
      <c r="C90" s="64"/>
      <c r="D90" s="310" t="s">
        <v>155</v>
      </c>
      <c r="E90" s="64"/>
      <c r="F90" s="64"/>
      <c r="G90" s="64"/>
      <c r="H90" s="64"/>
      <c r="I90" s="64"/>
      <c r="J90" s="311"/>
      <c r="K90" s="311"/>
      <c r="L90" s="311">
        <f>-76.17/8933.19</f>
        <v>-8.5266293451723291E-3</v>
      </c>
      <c r="M90" s="312"/>
      <c r="N90" s="312"/>
      <c r="O90" s="312"/>
      <c r="P90" s="312"/>
      <c r="Q90" s="312"/>
      <c r="R90" s="311">
        <f>-120.9/14586.3</f>
        <v>-8.2885995763147622E-3</v>
      </c>
      <c r="S90" s="312"/>
      <c r="T90" s="312"/>
      <c r="U90" s="312"/>
      <c r="V90" s="312"/>
      <c r="W90" s="311">
        <f>-537.55/21922.3</f>
        <v>-2.452069354036757E-2</v>
      </c>
      <c r="X90" s="312"/>
      <c r="Y90" s="312"/>
      <c r="Z90" s="312"/>
      <c r="AA90" s="312"/>
      <c r="AB90" s="311">
        <f>(-157.17+229.89)/15185.25</f>
        <v>4.7888576085345974E-3</v>
      </c>
      <c r="AC90" s="311">
        <v>-7.3599999999999999E-2</v>
      </c>
      <c r="AD90" s="311">
        <v>-1.0699999999999999E-2</v>
      </c>
      <c r="AE90" s="311">
        <v>-0.05</v>
      </c>
      <c r="AF90" s="311"/>
      <c r="AG90" s="311">
        <v>-8.9999999999999993E-3</v>
      </c>
      <c r="AH90" s="311">
        <v>-8.9999999999999993E-3</v>
      </c>
      <c r="AI90" s="311">
        <v>-8.9999999999999993E-3</v>
      </c>
      <c r="AJ90" s="311">
        <v>-8.9999999999999993E-3</v>
      </c>
      <c r="AK90" s="311">
        <v>-8.0000000000000002E-3</v>
      </c>
    </row>
    <row r="91" spans="1:37">
      <c r="A91" s="9"/>
      <c r="B91" s="314" t="s">
        <v>177</v>
      </c>
      <c r="C91" s="64"/>
      <c r="D91" s="310" t="s">
        <v>155</v>
      </c>
      <c r="E91" s="64"/>
      <c r="F91" s="64"/>
      <c r="G91" s="64"/>
      <c r="H91" s="64"/>
      <c r="I91" s="64"/>
      <c r="J91" s="311"/>
      <c r="K91" s="311"/>
      <c r="L91" s="311"/>
      <c r="M91" s="312"/>
      <c r="N91" s="312"/>
      <c r="O91" s="312"/>
      <c r="P91" s="312"/>
      <c r="Q91" s="312"/>
      <c r="R91" s="311"/>
      <c r="S91" s="312"/>
      <c r="T91" s="312"/>
      <c r="U91" s="312"/>
      <c r="V91" s="312"/>
      <c r="W91" s="311"/>
      <c r="X91" s="312"/>
      <c r="Y91" s="312"/>
      <c r="Z91" s="312"/>
      <c r="AA91" s="312"/>
      <c r="AB91" s="311"/>
      <c r="AC91" s="311">
        <v>-5.7799999999999997E-2</v>
      </c>
      <c r="AD91" s="311"/>
      <c r="AE91" s="311"/>
      <c r="AF91" s="311"/>
      <c r="AG91" s="311"/>
      <c r="AH91" s="311"/>
      <c r="AI91" s="311"/>
      <c r="AJ91" s="311"/>
      <c r="AK91" s="311"/>
    </row>
    <row r="92" spans="1:37">
      <c r="B92" s="308"/>
      <c r="J92" s="246"/>
      <c r="K92" s="246"/>
      <c r="L92" s="246"/>
      <c r="M92" s="309"/>
      <c r="N92" s="309"/>
      <c r="O92" s="309"/>
      <c r="P92" s="309"/>
      <c r="Q92" s="309"/>
      <c r="R92" s="246"/>
      <c r="S92" s="309"/>
      <c r="T92" s="309"/>
      <c r="U92" s="309"/>
      <c r="V92" s="309"/>
      <c r="W92" s="246"/>
      <c r="X92" s="309"/>
      <c r="Y92" s="309"/>
      <c r="Z92" s="309"/>
      <c r="AA92" s="309"/>
      <c r="AB92" s="246"/>
      <c r="AC92" s="246"/>
      <c r="AD92" s="246"/>
      <c r="AE92" s="246"/>
      <c r="AF92" s="246"/>
      <c r="AG92" s="246"/>
      <c r="AH92" s="246"/>
      <c r="AI92" s="246"/>
      <c r="AJ92" s="246"/>
      <c r="AK92" s="246"/>
    </row>
    <row r="93" spans="1:37">
      <c r="B93" s="315" t="s">
        <v>170</v>
      </c>
      <c r="C93" s="316"/>
      <c r="D93" s="317" t="s">
        <v>157</v>
      </c>
      <c r="E93" s="316"/>
      <c r="F93" s="316"/>
      <c r="G93" s="316"/>
      <c r="H93" s="316"/>
      <c r="I93" s="316"/>
      <c r="J93" s="318"/>
      <c r="K93" s="318"/>
      <c r="L93" s="318"/>
      <c r="M93" s="319"/>
      <c r="N93" s="319"/>
      <c r="O93" s="319"/>
      <c r="P93" s="319"/>
      <c r="Q93" s="319"/>
      <c r="R93" s="318"/>
      <c r="S93" s="319"/>
      <c r="T93" s="319"/>
      <c r="U93" s="319"/>
      <c r="V93" s="319"/>
      <c r="W93" s="318">
        <f>836.81/250639.5</f>
        <v>3.3386996064068111E-3</v>
      </c>
      <c r="X93" s="319"/>
      <c r="Y93" s="319"/>
      <c r="Z93" s="319"/>
      <c r="AA93" s="319"/>
      <c r="AB93" s="318">
        <f>-607.71/266519.92</f>
        <v>-2.2801672760520116E-3</v>
      </c>
      <c r="AC93" s="318">
        <v>2.8999999999999998E-3</v>
      </c>
      <c r="AD93" s="318"/>
      <c r="AE93" s="318"/>
      <c r="AF93" s="318"/>
      <c r="AG93" s="318"/>
      <c r="AH93" s="318"/>
      <c r="AI93" s="318"/>
      <c r="AJ93" s="318"/>
      <c r="AK93" s="318"/>
    </row>
    <row r="94" spans="1:37">
      <c r="B94" s="315" t="s">
        <v>171</v>
      </c>
      <c r="C94" s="316"/>
      <c r="D94" s="317" t="s">
        <v>157</v>
      </c>
      <c r="E94" s="316"/>
      <c r="F94" s="316"/>
      <c r="G94" s="316"/>
      <c r="H94" s="316"/>
      <c r="I94" s="316"/>
      <c r="J94" s="318"/>
      <c r="K94" s="318"/>
      <c r="L94" s="318"/>
      <c r="M94" s="319"/>
      <c r="N94" s="319"/>
      <c r="O94" s="319"/>
      <c r="P94" s="319"/>
      <c r="Q94" s="319"/>
      <c r="R94" s="318"/>
      <c r="S94" s="319"/>
      <c r="T94" s="319"/>
      <c r="U94" s="319"/>
      <c r="V94" s="319"/>
      <c r="W94" s="318"/>
      <c r="X94" s="319"/>
      <c r="Y94" s="319"/>
      <c r="Z94" s="319"/>
      <c r="AA94" s="319"/>
      <c r="AB94" s="318"/>
      <c r="AC94" s="318">
        <v>4.3E-3</v>
      </c>
      <c r="AD94" s="318">
        <v>-7.4999999999999997E-3</v>
      </c>
      <c r="AE94" s="318">
        <v>-4.0000000000000001E-3</v>
      </c>
      <c r="AF94" s="318">
        <v>-3.0000000000000001E-3</v>
      </c>
      <c r="AG94" s="318">
        <v>-3.0000000000000001E-3</v>
      </c>
      <c r="AH94" s="318"/>
      <c r="AI94" s="318"/>
      <c r="AJ94" s="318">
        <v>5.2999999999999999E-2</v>
      </c>
      <c r="AK94" s="318"/>
    </row>
    <row r="95" spans="1:37">
      <c r="B95" s="315" t="s">
        <v>181</v>
      </c>
      <c r="C95" s="316"/>
      <c r="D95" s="317" t="s">
        <v>157</v>
      </c>
      <c r="E95" s="316"/>
      <c r="F95" s="316"/>
      <c r="G95" s="316"/>
      <c r="H95" s="316"/>
      <c r="I95" s="316"/>
      <c r="J95" s="318"/>
      <c r="K95" s="318"/>
      <c r="L95" s="318"/>
      <c r="M95" s="319"/>
      <c r="N95" s="319"/>
      <c r="O95" s="319"/>
      <c r="P95" s="319"/>
      <c r="Q95" s="319"/>
      <c r="R95" s="318"/>
      <c r="S95" s="319"/>
      <c r="T95" s="319"/>
      <c r="U95" s="319"/>
      <c r="V95" s="319"/>
      <c r="W95" s="318"/>
      <c r="X95" s="319"/>
      <c r="Y95" s="319"/>
      <c r="Z95" s="319"/>
      <c r="AA95" s="319"/>
      <c r="AB95" s="318"/>
      <c r="AC95" s="318"/>
      <c r="AD95" s="318"/>
      <c r="AE95" s="318"/>
      <c r="AF95" s="318">
        <v>1E-3</v>
      </c>
      <c r="AG95" s="318"/>
      <c r="AH95" s="318"/>
      <c r="AI95" s="318"/>
      <c r="AJ95" s="318"/>
      <c r="AK95" s="318"/>
    </row>
    <row r="96" spans="1:37">
      <c r="B96" s="315" t="s">
        <v>180</v>
      </c>
      <c r="C96" s="316"/>
      <c r="D96" s="317" t="s">
        <v>157</v>
      </c>
      <c r="E96" s="316"/>
      <c r="F96" s="316"/>
      <c r="G96" s="316"/>
      <c r="H96" s="316"/>
      <c r="I96" s="316"/>
      <c r="J96" s="318"/>
      <c r="K96" s="318"/>
      <c r="L96" s="318"/>
      <c r="M96" s="319"/>
      <c r="N96" s="319"/>
      <c r="O96" s="319"/>
      <c r="P96" s="319"/>
      <c r="Q96" s="319"/>
      <c r="R96" s="318"/>
      <c r="S96" s="319"/>
      <c r="T96" s="319"/>
      <c r="U96" s="319"/>
      <c r="V96" s="319"/>
      <c r="W96" s="318"/>
      <c r="X96" s="319"/>
      <c r="Y96" s="319"/>
      <c r="Z96" s="319"/>
      <c r="AA96" s="319"/>
      <c r="AB96" s="318"/>
      <c r="AC96" s="318"/>
      <c r="AD96" s="318"/>
      <c r="AE96" s="318"/>
      <c r="AF96" s="318"/>
      <c r="AG96" s="318">
        <v>-8.9999999999999993E-3</v>
      </c>
      <c r="AH96" s="318"/>
      <c r="AI96" s="318"/>
      <c r="AJ96" s="318"/>
      <c r="AK96" s="318"/>
    </row>
    <row r="97" spans="1:37">
      <c r="B97" s="315" t="s">
        <v>182</v>
      </c>
      <c r="C97" s="316"/>
      <c r="D97" s="317" t="s">
        <v>157</v>
      </c>
      <c r="E97" s="316"/>
      <c r="F97" s="316"/>
      <c r="G97" s="316"/>
      <c r="H97" s="316"/>
      <c r="I97" s="316"/>
      <c r="J97" s="318"/>
      <c r="K97" s="318"/>
      <c r="L97" s="318"/>
      <c r="M97" s="319"/>
      <c r="N97" s="319"/>
      <c r="O97" s="319"/>
      <c r="P97" s="319"/>
      <c r="Q97" s="319"/>
      <c r="R97" s="318"/>
      <c r="S97" s="319"/>
      <c r="T97" s="319"/>
      <c r="U97" s="319"/>
      <c r="V97" s="319"/>
      <c r="W97" s="318"/>
      <c r="X97" s="319"/>
      <c r="Y97" s="319"/>
      <c r="Z97" s="319"/>
      <c r="AA97" s="319"/>
      <c r="AB97" s="318"/>
      <c r="AC97" s="318"/>
      <c r="AD97" s="318"/>
      <c r="AE97" s="318"/>
      <c r="AF97" s="318"/>
      <c r="AG97" s="318"/>
      <c r="AH97" s="318">
        <v>-4.2000000000000003E-2</v>
      </c>
      <c r="AI97" s="318"/>
      <c r="AJ97" s="318"/>
      <c r="AK97" s="318"/>
    </row>
    <row r="98" spans="1:37">
      <c r="B98" s="315" t="s">
        <v>179</v>
      </c>
      <c r="C98" s="316"/>
      <c r="D98" s="317" t="s">
        <v>157</v>
      </c>
      <c r="E98" s="316"/>
      <c r="F98" s="316"/>
      <c r="G98" s="316"/>
      <c r="H98" s="316"/>
      <c r="I98" s="316"/>
      <c r="J98" s="318"/>
      <c r="K98" s="318"/>
      <c r="L98" s="318"/>
      <c r="M98" s="319"/>
      <c r="N98" s="319"/>
      <c r="O98" s="319"/>
      <c r="P98" s="319"/>
      <c r="Q98" s="319"/>
      <c r="R98" s="318"/>
      <c r="S98" s="319"/>
      <c r="T98" s="319"/>
      <c r="U98" s="319"/>
      <c r="V98" s="319"/>
      <c r="W98" s="318"/>
      <c r="X98" s="319"/>
      <c r="Y98" s="319"/>
      <c r="Z98" s="319"/>
      <c r="AA98" s="319"/>
      <c r="AB98" s="318"/>
      <c r="AC98" s="318"/>
      <c r="AD98" s="318"/>
      <c r="AE98" s="318"/>
      <c r="AF98" s="318"/>
      <c r="AG98" s="318"/>
      <c r="AH98" s="318">
        <v>-0.01</v>
      </c>
      <c r="AI98" s="318"/>
      <c r="AJ98" s="318"/>
      <c r="AK98" s="318"/>
    </row>
    <row r="99" spans="1:37">
      <c r="A99" s="9"/>
      <c r="B99" s="320" t="s">
        <v>174</v>
      </c>
      <c r="C99" s="316"/>
      <c r="D99" s="317" t="s">
        <v>157</v>
      </c>
      <c r="E99" s="316"/>
      <c r="F99" s="316"/>
      <c r="G99" s="316"/>
      <c r="H99" s="316"/>
      <c r="I99" s="316"/>
      <c r="J99" s="318">
        <f>-3926.93/278650.9</f>
        <v>-1.40926514143683E-2</v>
      </c>
      <c r="K99" s="318">
        <f>-4880.07/264640.39</f>
        <v>-1.844038243746542E-2</v>
      </c>
      <c r="L99" s="318">
        <f>-4230.56/261855.92</f>
        <v>-1.615606017232683E-2</v>
      </c>
      <c r="M99" s="319"/>
      <c r="N99" s="319"/>
      <c r="O99" s="319"/>
      <c r="P99" s="319"/>
      <c r="Q99" s="319"/>
      <c r="R99" s="318">
        <f>(-3651.85-3686.6)/211304.75</f>
        <v>-3.4729224023596253E-2</v>
      </c>
      <c r="S99" s="319"/>
      <c r="T99" s="319"/>
      <c r="U99" s="319"/>
      <c r="V99" s="319"/>
      <c r="W99" s="318">
        <f>-3852.39/250639.5</f>
        <v>-1.5370242918614184E-2</v>
      </c>
      <c r="X99" s="319"/>
      <c r="Y99" s="319"/>
      <c r="Z99" s="319"/>
      <c r="AA99" s="319"/>
      <c r="AB99" s="318">
        <f>-4242.45/266519.92</f>
        <v>-1.5917947146314618E-2</v>
      </c>
      <c r="AC99" s="318">
        <v>-1.61E-2</v>
      </c>
      <c r="AD99" s="318">
        <v>-1.6400000000000001E-2</v>
      </c>
      <c r="AE99" s="318">
        <v>-1.6E-2</v>
      </c>
      <c r="AF99" s="318">
        <v>-1.7000000000000001E-2</v>
      </c>
      <c r="AG99" s="318">
        <v>-1.7000000000000001E-2</v>
      </c>
      <c r="AH99" s="318">
        <v>-1.7000000000000001E-2</v>
      </c>
      <c r="AI99" s="318">
        <v>-1.7000000000000001E-2</v>
      </c>
      <c r="AJ99" s="318">
        <v>-1.7000000000000001E-2</v>
      </c>
      <c r="AK99" s="318">
        <v>-1.6E-2</v>
      </c>
    </row>
    <row r="100" spans="1:37">
      <c r="B100" s="320" t="s">
        <v>175</v>
      </c>
      <c r="C100" s="316"/>
      <c r="D100" s="317" t="s">
        <v>157</v>
      </c>
      <c r="E100" s="316"/>
      <c r="F100" s="316"/>
      <c r="G100" s="316"/>
      <c r="H100" s="316"/>
      <c r="I100" s="316"/>
      <c r="J100" s="318">
        <f>0.1/278650.9</f>
        <v>3.5887197923997371E-7</v>
      </c>
      <c r="K100" s="318">
        <f>2.21/264640.39</f>
        <v>8.3509550450707845E-6</v>
      </c>
      <c r="L100" s="318">
        <f>-1.39/261855.92</f>
        <v>-5.3082626506973752E-6</v>
      </c>
      <c r="M100" s="319"/>
      <c r="N100" s="319"/>
      <c r="O100" s="319"/>
      <c r="P100" s="319"/>
      <c r="Q100" s="319"/>
      <c r="R100" s="318">
        <f>46.66/211304.75</f>
        <v>2.2081850975900919E-4</v>
      </c>
      <c r="S100" s="319"/>
      <c r="T100" s="319"/>
      <c r="U100" s="319"/>
      <c r="V100" s="319"/>
      <c r="W100" s="318">
        <f>4.48/250639.5</f>
        <v>1.7874277597904562E-5</v>
      </c>
      <c r="X100" s="319"/>
      <c r="Y100" s="319"/>
      <c r="Z100" s="319"/>
      <c r="AA100" s="319"/>
      <c r="AB100" s="318">
        <f>21.95/266519.92</f>
        <v>8.2357821509176506E-5</v>
      </c>
      <c r="AC100" s="318"/>
      <c r="AD100" s="318"/>
      <c r="AE100" s="318"/>
      <c r="AF100" s="318"/>
      <c r="AG100" s="318"/>
      <c r="AH100" s="318"/>
      <c r="AI100" s="318"/>
      <c r="AJ100" s="318"/>
      <c r="AK100" s="318"/>
    </row>
    <row r="101" spans="1:37">
      <c r="B101" s="315" t="s">
        <v>176</v>
      </c>
      <c r="C101" s="316"/>
      <c r="D101" s="317" t="s">
        <v>157</v>
      </c>
      <c r="E101" s="316"/>
      <c r="F101" s="316"/>
      <c r="G101" s="316"/>
      <c r="H101" s="316"/>
      <c r="I101" s="316"/>
      <c r="J101" s="318"/>
      <c r="K101" s="318"/>
      <c r="L101" s="318"/>
      <c r="M101" s="319"/>
      <c r="N101" s="319"/>
      <c r="O101" s="319"/>
      <c r="P101" s="319"/>
      <c r="Q101" s="319"/>
      <c r="R101" s="318"/>
      <c r="S101" s="319"/>
      <c r="T101" s="319"/>
      <c r="U101" s="319"/>
      <c r="V101" s="319"/>
      <c r="W101" s="318"/>
      <c r="X101" s="319"/>
      <c r="Y101" s="319"/>
      <c r="Z101" s="319"/>
      <c r="AA101" s="319"/>
      <c r="AB101" s="318">
        <f>-1579.78/246478.34</f>
        <v>-6.4094070091513921E-3</v>
      </c>
      <c r="AC101" s="318"/>
      <c r="AD101" s="318">
        <v>-6.9999999999999999E-4</v>
      </c>
      <c r="AE101" s="318"/>
      <c r="AF101" s="318"/>
      <c r="AG101" s="318">
        <v>-2E-3</v>
      </c>
      <c r="AH101" s="318">
        <v>-5.0000000000000001E-3</v>
      </c>
      <c r="AI101" s="318"/>
      <c r="AJ101" s="318"/>
      <c r="AK101" s="318"/>
    </row>
    <row r="102" spans="1:37">
      <c r="B102" s="315" t="s">
        <v>177</v>
      </c>
      <c r="C102" s="316"/>
      <c r="D102" s="317" t="s">
        <v>157</v>
      </c>
      <c r="E102" s="316"/>
      <c r="F102" s="316"/>
      <c r="G102" s="316"/>
      <c r="H102" s="316"/>
      <c r="I102" s="316"/>
      <c r="J102" s="318"/>
      <c r="K102" s="318"/>
      <c r="L102" s="318"/>
      <c r="M102" s="319"/>
      <c r="N102" s="319"/>
      <c r="O102" s="319"/>
      <c r="P102" s="319"/>
      <c r="Q102" s="319"/>
      <c r="R102" s="318">
        <f>-5455.75/211304.75</f>
        <v>-2.5819343862359932E-2</v>
      </c>
      <c r="S102" s="319"/>
      <c r="T102" s="319"/>
      <c r="U102" s="319"/>
      <c r="V102" s="319"/>
      <c r="W102" s="318"/>
      <c r="X102" s="319"/>
      <c r="Y102" s="319"/>
      <c r="Z102" s="319"/>
      <c r="AA102" s="319"/>
      <c r="AB102" s="318"/>
      <c r="AC102" s="318">
        <v>-2.4799999999999999E-2</v>
      </c>
      <c r="AD102" s="318"/>
      <c r="AE102" s="318"/>
      <c r="AF102" s="318">
        <v>-2E-3</v>
      </c>
      <c r="AG102" s="318"/>
      <c r="AH102" s="318"/>
      <c r="AI102" s="318"/>
      <c r="AJ102" s="318">
        <v>-1.2E-2</v>
      </c>
      <c r="AK102" s="318"/>
    </row>
    <row r="103" spans="1:37">
      <c r="B103" s="177"/>
      <c r="D103" s="9"/>
      <c r="J103" s="246"/>
      <c r="K103" s="246"/>
      <c r="L103" s="246"/>
      <c r="M103" s="309"/>
      <c r="N103" s="309"/>
      <c r="O103" s="309"/>
      <c r="P103" s="309"/>
      <c r="Q103" s="309"/>
      <c r="R103" s="246"/>
      <c r="S103" s="309"/>
      <c r="T103" s="309"/>
      <c r="U103" s="309"/>
      <c r="V103" s="309"/>
      <c r="W103" s="246"/>
      <c r="X103" s="309"/>
      <c r="Y103" s="309"/>
      <c r="Z103" s="309"/>
      <c r="AA103" s="309"/>
      <c r="AB103" s="246"/>
      <c r="AC103" s="246"/>
      <c r="AD103" s="246"/>
      <c r="AE103" s="246"/>
      <c r="AF103" s="246"/>
      <c r="AG103" s="246"/>
      <c r="AH103" s="246"/>
      <c r="AI103" s="246"/>
      <c r="AJ103" s="246"/>
      <c r="AK103" s="246"/>
    </row>
    <row r="104" spans="1:37">
      <c r="A104" s="9"/>
      <c r="B104" s="314" t="s">
        <v>174</v>
      </c>
      <c r="C104" s="64"/>
      <c r="D104" s="310" t="s">
        <v>159</v>
      </c>
      <c r="E104" s="64"/>
      <c r="F104" s="64"/>
      <c r="G104" s="64"/>
      <c r="H104" s="64"/>
      <c r="I104" s="64"/>
      <c r="J104" s="311"/>
      <c r="K104" s="311"/>
      <c r="L104" s="311"/>
      <c r="M104" s="312"/>
      <c r="N104" s="312"/>
      <c r="O104" s="312"/>
      <c r="P104" s="312"/>
      <c r="Q104" s="312"/>
      <c r="R104" s="311"/>
      <c r="S104" s="312"/>
      <c r="T104" s="312"/>
      <c r="U104" s="312"/>
      <c r="V104" s="312"/>
      <c r="W104" s="311">
        <f>-80.37/4020.21</f>
        <v>-1.9991492981709911E-2</v>
      </c>
      <c r="X104" s="312"/>
      <c r="Y104" s="312"/>
      <c r="Z104" s="312"/>
      <c r="AA104" s="312"/>
      <c r="AB104" s="311">
        <f>-245.34/12272.22</f>
        <v>-1.9991492981709911E-2</v>
      </c>
      <c r="AC104" s="311">
        <v>-5.2200000000000003E-2</v>
      </c>
      <c r="AD104" s="311">
        <v>-6.0400000000000002E-2</v>
      </c>
      <c r="AE104" s="311"/>
      <c r="AF104" s="311"/>
      <c r="AG104" s="311"/>
      <c r="AH104" s="311"/>
      <c r="AI104" s="311"/>
      <c r="AJ104" s="311"/>
      <c r="AK104" s="311"/>
    </row>
    <row r="105" spans="1:37">
      <c r="B105" s="313"/>
      <c r="C105" s="64"/>
      <c r="D105" s="310" t="s">
        <v>159</v>
      </c>
      <c r="E105" s="64"/>
      <c r="F105" s="64"/>
      <c r="G105" s="64"/>
      <c r="H105" s="64"/>
      <c r="I105" s="64"/>
      <c r="J105" s="311"/>
      <c r="K105" s="311"/>
      <c r="L105" s="311"/>
      <c r="M105" s="312"/>
      <c r="N105" s="312"/>
      <c r="O105" s="312"/>
      <c r="P105" s="312"/>
      <c r="Q105" s="312"/>
      <c r="R105" s="311"/>
      <c r="S105" s="312"/>
      <c r="T105" s="312"/>
      <c r="U105" s="312"/>
      <c r="V105" s="312"/>
      <c r="W105" s="311"/>
      <c r="X105" s="312"/>
      <c r="Y105" s="312"/>
      <c r="Z105" s="312"/>
      <c r="AA105" s="312"/>
      <c r="AB105" s="311"/>
      <c r="AC105" s="311"/>
      <c r="AD105" s="311"/>
      <c r="AE105" s="311"/>
      <c r="AF105" s="311"/>
      <c r="AG105" s="311"/>
      <c r="AH105" s="311"/>
      <c r="AI105" s="311"/>
      <c r="AJ105" s="311"/>
      <c r="AK105" s="311"/>
    </row>
    <row r="106" spans="1:37">
      <c r="B106" s="308"/>
      <c r="J106" s="246"/>
      <c r="K106" s="246"/>
      <c r="L106" s="246"/>
      <c r="M106" s="309"/>
      <c r="N106" s="309"/>
      <c r="O106" s="309"/>
      <c r="P106" s="309"/>
      <c r="Q106" s="309"/>
      <c r="R106" s="246"/>
      <c r="S106" s="309"/>
      <c r="T106" s="309"/>
      <c r="U106" s="309"/>
      <c r="V106" s="309"/>
      <c r="W106" s="246"/>
      <c r="X106" s="309"/>
      <c r="Y106" s="309"/>
      <c r="Z106" s="309"/>
      <c r="AA106" s="309"/>
      <c r="AB106" s="246"/>
      <c r="AC106" s="246"/>
      <c r="AD106" s="246"/>
      <c r="AE106" s="246"/>
      <c r="AF106" s="246"/>
      <c r="AG106" s="246"/>
      <c r="AH106" s="246"/>
      <c r="AI106" s="246"/>
      <c r="AJ106" s="246"/>
      <c r="AK106" s="246"/>
    </row>
    <row r="107" spans="1:37">
      <c r="B107" s="315" t="s">
        <v>170</v>
      </c>
      <c r="C107" s="316"/>
      <c r="D107" s="317" t="s">
        <v>161</v>
      </c>
      <c r="E107" s="316"/>
      <c r="F107" s="316"/>
      <c r="G107" s="316"/>
      <c r="H107" s="316"/>
      <c r="I107" s="316"/>
      <c r="J107" s="318"/>
      <c r="K107" s="318"/>
      <c r="L107" s="318"/>
      <c r="M107" s="319"/>
      <c r="N107" s="319"/>
      <c r="O107" s="319"/>
      <c r="P107" s="319"/>
      <c r="Q107" s="319"/>
      <c r="R107" s="318"/>
      <c r="S107" s="319"/>
      <c r="T107" s="319"/>
      <c r="U107" s="319"/>
      <c r="V107" s="319"/>
      <c r="W107" s="318">
        <f>608.46/219103.36</f>
        <v>2.7770455003519805E-3</v>
      </c>
      <c r="X107" s="319"/>
      <c r="Y107" s="319"/>
      <c r="Z107" s="319"/>
      <c r="AA107" s="319"/>
      <c r="AB107" s="318">
        <f>299.61/246478.34</f>
        <v>1.2155632012127314E-3</v>
      </c>
      <c r="AC107" s="318">
        <v>-1.1000000000000001E-3</v>
      </c>
      <c r="AD107" s="318">
        <v>-2.3999999999999998E-3</v>
      </c>
      <c r="AE107" s="318"/>
      <c r="AF107" s="318"/>
      <c r="AG107" s="318"/>
      <c r="AH107" s="318"/>
      <c r="AI107" s="318"/>
      <c r="AJ107" s="318">
        <v>1.4999999999999999E-2</v>
      </c>
      <c r="AK107" s="318"/>
    </row>
    <row r="108" spans="1:37">
      <c r="B108" s="315" t="s">
        <v>171</v>
      </c>
      <c r="C108" s="316"/>
      <c r="D108" s="317" t="s">
        <v>161</v>
      </c>
      <c r="E108" s="316"/>
      <c r="F108" s="316"/>
      <c r="G108" s="316"/>
      <c r="H108" s="316"/>
      <c r="I108" s="316"/>
      <c r="J108" s="318"/>
      <c r="K108" s="318"/>
      <c r="L108" s="318"/>
      <c r="M108" s="319"/>
      <c r="N108" s="319"/>
      <c r="O108" s="319"/>
      <c r="P108" s="319"/>
      <c r="Q108" s="319"/>
      <c r="R108" s="318"/>
      <c r="S108" s="319"/>
      <c r="T108" s="319"/>
      <c r="U108" s="319"/>
      <c r="V108" s="319"/>
      <c r="W108" s="318"/>
      <c r="X108" s="319"/>
      <c r="Y108" s="319"/>
      <c r="Z108" s="319"/>
      <c r="AA108" s="319"/>
      <c r="AB108" s="318"/>
      <c r="AC108" s="318"/>
      <c r="AD108" s="318">
        <v>5.8999999999999999E-3</v>
      </c>
      <c r="AE108" s="318">
        <v>-6.0000000000000001E-3</v>
      </c>
      <c r="AF108" s="318">
        <v>-1E-3</v>
      </c>
      <c r="AG108" s="318">
        <v>1.2E-2</v>
      </c>
      <c r="AH108" s="318"/>
      <c r="AI108" s="318">
        <v>4.0000000000000001E-3</v>
      </c>
      <c r="AJ108" s="318"/>
      <c r="AK108" s="318"/>
    </row>
    <row r="109" spans="1:37">
      <c r="B109" s="315" t="s">
        <v>180</v>
      </c>
      <c r="C109" s="316"/>
      <c r="D109" s="317" t="s">
        <v>161</v>
      </c>
      <c r="E109" s="316"/>
      <c r="F109" s="316"/>
      <c r="G109" s="316"/>
      <c r="H109" s="316"/>
      <c r="I109" s="316"/>
      <c r="J109" s="318"/>
      <c r="K109" s="318"/>
      <c r="L109" s="318"/>
      <c r="M109" s="319"/>
      <c r="N109" s="319"/>
      <c r="O109" s="319"/>
      <c r="P109" s="319"/>
      <c r="Q109" s="319"/>
      <c r="R109" s="318"/>
      <c r="S109" s="319"/>
      <c r="T109" s="319"/>
      <c r="U109" s="319"/>
      <c r="V109" s="319"/>
      <c r="W109" s="318"/>
      <c r="X109" s="319"/>
      <c r="Y109" s="319"/>
      <c r="Z109" s="319"/>
      <c r="AA109" s="319"/>
      <c r="AB109" s="318"/>
      <c r="AC109" s="318"/>
      <c r="AD109" s="318"/>
      <c r="AE109" s="318"/>
      <c r="AF109" s="318"/>
      <c r="AG109" s="318">
        <v>-0.22700000000000001</v>
      </c>
      <c r="AH109" s="318">
        <v>-0.13300000000000001</v>
      </c>
      <c r="AI109" s="318"/>
      <c r="AJ109" s="318">
        <v>1.4E-2</v>
      </c>
      <c r="AK109" s="318">
        <v>4.2000000000000003E-2</v>
      </c>
    </row>
    <row r="110" spans="1:37">
      <c r="B110" s="315" t="s">
        <v>182</v>
      </c>
      <c r="C110" s="316"/>
      <c r="D110" s="317" t="s">
        <v>161</v>
      </c>
      <c r="E110" s="316"/>
      <c r="F110" s="316"/>
      <c r="G110" s="316"/>
      <c r="H110" s="316"/>
      <c r="I110" s="316"/>
      <c r="J110" s="318"/>
      <c r="K110" s="318"/>
      <c r="L110" s="318"/>
      <c r="M110" s="319"/>
      <c r="N110" s="319"/>
      <c r="O110" s="319"/>
      <c r="P110" s="319"/>
      <c r="Q110" s="319"/>
      <c r="R110" s="318"/>
      <c r="S110" s="319"/>
      <c r="T110" s="319"/>
      <c r="U110" s="319"/>
      <c r="V110" s="319"/>
      <c r="W110" s="318"/>
      <c r="X110" s="319"/>
      <c r="Y110" s="319"/>
      <c r="Z110" s="319"/>
      <c r="AA110" s="319"/>
      <c r="AB110" s="318"/>
      <c r="AC110" s="318"/>
      <c r="AD110" s="318"/>
      <c r="AE110" s="318"/>
      <c r="AF110" s="318"/>
      <c r="AG110" s="318"/>
      <c r="AH110" s="318"/>
      <c r="AI110" s="318"/>
      <c r="AJ110" s="318">
        <v>-6.7000000000000004E-2</v>
      </c>
      <c r="AK110" s="318"/>
    </row>
    <row r="111" spans="1:37">
      <c r="B111" s="315" t="s">
        <v>179</v>
      </c>
      <c r="C111" s="316"/>
      <c r="D111" s="317" t="s">
        <v>161</v>
      </c>
      <c r="E111" s="316"/>
      <c r="F111" s="316"/>
      <c r="G111" s="316"/>
      <c r="H111" s="316"/>
      <c r="I111" s="316"/>
      <c r="J111" s="318"/>
      <c r="K111" s="318"/>
      <c r="L111" s="318"/>
      <c r="M111" s="319"/>
      <c r="N111" s="319"/>
      <c r="O111" s="319"/>
      <c r="P111" s="319"/>
      <c r="Q111" s="319"/>
      <c r="R111" s="318"/>
      <c r="S111" s="319"/>
      <c r="T111" s="319"/>
      <c r="U111" s="319"/>
      <c r="V111" s="319"/>
      <c r="W111" s="318"/>
      <c r="X111" s="319"/>
      <c r="Y111" s="319"/>
      <c r="Z111" s="319"/>
      <c r="AA111" s="319"/>
      <c r="AB111" s="318"/>
      <c r="AC111" s="318"/>
      <c r="AD111" s="318"/>
      <c r="AE111" s="318"/>
      <c r="AF111" s="318"/>
      <c r="AG111" s="318"/>
      <c r="AH111" s="318">
        <v>-0.156</v>
      </c>
      <c r="AI111" s="318"/>
      <c r="AJ111" s="318"/>
      <c r="AK111" s="318"/>
    </row>
    <row r="112" spans="1:37">
      <c r="A112" s="9"/>
      <c r="B112" s="315" t="s">
        <v>174</v>
      </c>
      <c r="C112" s="316"/>
      <c r="D112" s="317" t="s">
        <v>161</v>
      </c>
      <c r="E112" s="316"/>
      <c r="F112" s="316"/>
      <c r="G112" s="316"/>
      <c r="H112" s="316"/>
      <c r="I112" s="316"/>
      <c r="J112" s="318">
        <f>-2708.45/200721.68</f>
        <v>-1.3493559838678114E-2</v>
      </c>
      <c r="K112" s="318">
        <f>-3849.37/167246.03</f>
        <v>-2.3016211505887462E-2</v>
      </c>
      <c r="L112" s="318">
        <f>-3255.65/188408.9</f>
        <v>-1.727970387810767E-2</v>
      </c>
      <c r="M112" s="319"/>
      <c r="N112" s="319"/>
      <c r="O112" s="319"/>
      <c r="P112" s="319"/>
      <c r="Q112" s="319"/>
      <c r="R112" s="318">
        <f>(-3028.26-3042.71)/210395.15</f>
        <v>-2.8855085300207729E-2</v>
      </c>
      <c r="S112" s="319"/>
      <c r="T112" s="319"/>
      <c r="U112" s="319"/>
      <c r="V112" s="319"/>
      <c r="W112" s="318">
        <f>-4128.22/219103.36</f>
        <v>-1.8841427169350576E-2</v>
      </c>
      <c r="X112" s="319"/>
      <c r="Y112" s="319"/>
      <c r="Z112" s="319"/>
      <c r="AA112" s="319"/>
      <c r="AB112" s="318">
        <f>-4153.58/246478.34</f>
        <v>-1.6851703886029093E-2</v>
      </c>
      <c r="AC112" s="318">
        <v>-1.6500000000000001E-2</v>
      </c>
      <c r="AD112" s="318">
        <v>-1.7500000000000002E-2</v>
      </c>
      <c r="AE112" s="318">
        <v>-1.7999999999999999E-2</v>
      </c>
      <c r="AF112" s="318">
        <v>-1.7000000000000001E-2</v>
      </c>
      <c r="AG112" s="318">
        <v>-1.7000000000000001E-2</v>
      </c>
      <c r="AH112" s="318">
        <v>-1.7000000000000001E-2</v>
      </c>
      <c r="AI112" s="318">
        <v>-1.7000000000000001E-2</v>
      </c>
      <c r="AJ112" s="318">
        <v>-1.7000000000000001E-2</v>
      </c>
      <c r="AK112" s="318">
        <v>-1.7000000000000001E-2</v>
      </c>
    </row>
    <row r="113" spans="1:37">
      <c r="B113" s="315" t="s">
        <v>175</v>
      </c>
      <c r="C113" s="316"/>
      <c r="D113" s="317" t="s">
        <v>161</v>
      </c>
      <c r="E113" s="316"/>
      <c r="F113" s="316"/>
      <c r="G113" s="316"/>
      <c r="H113" s="316"/>
      <c r="I113" s="316"/>
      <c r="J113" s="318">
        <f>-0.37/200721.68</f>
        <v>-1.8433484614118415E-6</v>
      </c>
      <c r="K113" s="318">
        <f>-4.13/167246.03</f>
        <v>-2.4694158659550841E-5</v>
      </c>
      <c r="L113" s="318">
        <f>-132.16/188408.9</f>
        <v>-7.0145306299224715E-4</v>
      </c>
      <c r="M113" s="319"/>
      <c r="N113" s="319"/>
      <c r="O113" s="319"/>
      <c r="P113" s="319"/>
      <c r="Q113" s="319"/>
      <c r="R113" s="318">
        <f>157.69/210395.15</f>
        <v>7.4949446315658889E-4</v>
      </c>
      <c r="S113" s="319"/>
      <c r="T113" s="319"/>
      <c r="U113" s="319"/>
      <c r="V113" s="319"/>
      <c r="W113" s="318">
        <f>-2.01/219103.36</f>
        <v>-9.1737525157076553E-6</v>
      </c>
      <c r="X113" s="319"/>
      <c r="Y113" s="319"/>
      <c r="Z113" s="319"/>
      <c r="AA113" s="319"/>
      <c r="AB113" s="318">
        <f>33.97/246478.34</f>
        <v>1.3782144102398612E-4</v>
      </c>
      <c r="AC113" s="318"/>
      <c r="AD113" s="318"/>
      <c r="AE113" s="318"/>
      <c r="AF113" s="318"/>
      <c r="AG113" s="318"/>
      <c r="AH113" s="318"/>
      <c r="AI113" s="318"/>
      <c r="AJ113" s="318"/>
      <c r="AK113" s="318"/>
    </row>
    <row r="114" spans="1:37">
      <c r="B114" s="315" t="s">
        <v>176</v>
      </c>
      <c r="C114" s="316"/>
      <c r="D114" s="317" t="s">
        <v>161</v>
      </c>
      <c r="E114" s="316"/>
      <c r="F114" s="316"/>
      <c r="G114" s="316"/>
      <c r="H114" s="316"/>
      <c r="I114" s="316"/>
      <c r="J114" s="318"/>
      <c r="K114" s="318"/>
      <c r="L114" s="318"/>
      <c r="M114" s="319"/>
      <c r="N114" s="319"/>
      <c r="O114" s="319"/>
      <c r="P114" s="319"/>
      <c r="Q114" s="319"/>
      <c r="R114" s="318"/>
      <c r="S114" s="319"/>
      <c r="T114" s="319"/>
      <c r="U114" s="319"/>
      <c r="V114" s="319"/>
      <c r="W114" s="318"/>
      <c r="X114" s="319"/>
      <c r="Y114" s="319"/>
      <c r="Z114" s="319"/>
      <c r="AA114" s="319"/>
      <c r="AB114" s="318"/>
      <c r="AC114" s="318"/>
      <c r="AD114" s="318"/>
      <c r="AE114" s="318"/>
      <c r="AF114" s="318"/>
      <c r="AG114" s="318"/>
      <c r="AH114" s="318">
        <v>-1.7999999999999999E-2</v>
      </c>
      <c r="AI114" s="318"/>
      <c r="AJ114" s="318"/>
      <c r="AK114" s="318"/>
    </row>
    <row r="115" spans="1:37">
      <c r="B115" s="315" t="s">
        <v>177</v>
      </c>
      <c r="C115" s="316"/>
      <c r="D115" s="317" t="s">
        <v>161</v>
      </c>
      <c r="E115" s="316"/>
      <c r="F115" s="316"/>
      <c r="G115" s="316"/>
      <c r="H115" s="316"/>
      <c r="I115" s="316"/>
      <c r="J115" s="318"/>
      <c r="K115" s="318"/>
      <c r="L115" s="318"/>
      <c r="M115" s="319"/>
      <c r="N115" s="319"/>
      <c r="O115" s="319"/>
      <c r="P115" s="319"/>
      <c r="Q115" s="319"/>
      <c r="R115" s="318">
        <f>-2320.58/210395.15</f>
        <v>-1.1029626871151735E-2</v>
      </c>
      <c r="S115" s="319"/>
      <c r="T115" s="319"/>
      <c r="U115" s="319"/>
      <c r="V115" s="319"/>
      <c r="W115" s="318"/>
      <c r="X115" s="319"/>
      <c r="Y115" s="319"/>
      <c r="Z115" s="319"/>
      <c r="AA115" s="319"/>
      <c r="AB115" s="318"/>
      <c r="AC115" s="318"/>
      <c r="AD115" s="318"/>
      <c r="AE115" s="318"/>
      <c r="AF115" s="318"/>
      <c r="AG115" s="318">
        <v>-3.9E-2</v>
      </c>
      <c r="AH115" s="318"/>
      <c r="AI115" s="318"/>
      <c r="AJ115" s="318">
        <v>-7.4999999999999997E-2</v>
      </c>
      <c r="AK115" s="318"/>
    </row>
    <row r="116" spans="1:37">
      <c r="B116" s="308"/>
      <c r="J116" s="246"/>
      <c r="K116" s="246"/>
      <c r="L116" s="246"/>
      <c r="M116" s="309"/>
      <c r="N116" s="309"/>
      <c r="O116" s="309"/>
      <c r="P116" s="309"/>
      <c r="Q116" s="309"/>
      <c r="R116" s="246"/>
      <c r="S116" s="309"/>
      <c r="T116" s="309"/>
      <c r="U116" s="309"/>
      <c r="V116" s="309"/>
      <c r="W116" s="246"/>
      <c r="X116" s="309"/>
      <c r="Y116" s="309"/>
      <c r="Z116" s="309"/>
      <c r="AA116" s="309"/>
      <c r="AB116" s="246"/>
      <c r="AC116" s="246"/>
      <c r="AD116" s="246"/>
      <c r="AE116" s="246"/>
      <c r="AF116" s="246"/>
      <c r="AG116" s="246"/>
      <c r="AH116" s="246"/>
      <c r="AI116" s="246"/>
      <c r="AJ116" s="246"/>
      <c r="AK116" s="246"/>
    </row>
    <row r="117" spans="1:37">
      <c r="B117" s="314" t="s">
        <v>170</v>
      </c>
      <c r="C117" s="64"/>
      <c r="D117" s="310" t="s">
        <v>163</v>
      </c>
      <c r="E117" s="64"/>
      <c r="F117" s="64"/>
      <c r="G117" s="64"/>
      <c r="H117" s="64"/>
      <c r="I117" s="64"/>
      <c r="J117" s="311"/>
      <c r="K117" s="311"/>
      <c r="L117" s="311"/>
      <c r="M117" s="312"/>
      <c r="N117" s="312"/>
      <c r="O117" s="312"/>
      <c r="P117" s="312"/>
      <c r="Q117" s="312"/>
      <c r="R117" s="311"/>
      <c r="S117" s="312"/>
      <c r="T117" s="312"/>
      <c r="U117" s="312"/>
      <c r="V117" s="312"/>
      <c r="W117" s="311">
        <f>-3653.58/471776.01</f>
        <v>-7.7443106952386149E-3</v>
      </c>
      <c r="X117" s="312"/>
      <c r="Y117" s="312"/>
      <c r="Z117" s="312"/>
      <c r="AA117" s="312"/>
      <c r="AB117" s="311">
        <f>-2107.29/488051.19</f>
        <v>-4.3177642902581595E-3</v>
      </c>
      <c r="AC117" s="311">
        <v>1E-3</v>
      </c>
      <c r="AD117" s="311"/>
      <c r="AE117" s="311"/>
      <c r="AF117" s="311"/>
      <c r="AG117" s="311"/>
      <c r="AH117" s="311"/>
      <c r="AI117" s="311"/>
      <c r="AJ117" s="311"/>
      <c r="AK117" s="311"/>
    </row>
    <row r="118" spans="1:37">
      <c r="B118" s="314" t="s">
        <v>171</v>
      </c>
      <c r="C118" s="64"/>
      <c r="D118" s="310" t="s">
        <v>163</v>
      </c>
      <c r="E118" s="64"/>
      <c r="F118" s="64"/>
      <c r="G118" s="64"/>
      <c r="H118" s="64"/>
      <c r="I118" s="64"/>
      <c r="J118" s="311"/>
      <c r="K118" s="311"/>
      <c r="L118" s="311"/>
      <c r="M118" s="312"/>
      <c r="N118" s="312"/>
      <c r="O118" s="312"/>
      <c r="P118" s="312"/>
      <c r="Q118" s="312"/>
      <c r="R118" s="311"/>
      <c r="S118" s="312"/>
      <c r="T118" s="312"/>
      <c r="U118" s="312"/>
      <c r="V118" s="312"/>
      <c r="W118" s="311"/>
      <c r="X118" s="312"/>
      <c r="Y118" s="312"/>
      <c r="Z118" s="312"/>
      <c r="AA118" s="312"/>
      <c r="AB118" s="311"/>
      <c r="AC118" s="311">
        <v>7.7000000000000002E-3</v>
      </c>
      <c r="AD118" s="311">
        <v>-5.0000000000000001E-4</v>
      </c>
      <c r="AE118" s="311">
        <v>-1E-3</v>
      </c>
      <c r="AF118" s="311">
        <v>2E-3</v>
      </c>
      <c r="AG118" s="311">
        <v>1E-3</v>
      </c>
      <c r="AH118" s="311"/>
      <c r="AI118" s="311"/>
      <c r="AJ118" s="311"/>
      <c r="AK118" s="311"/>
    </row>
    <row r="119" spans="1:37">
      <c r="B119" s="314" t="s">
        <v>182</v>
      </c>
      <c r="C119" s="64"/>
      <c r="D119" s="310" t="s">
        <v>163</v>
      </c>
      <c r="E119" s="64"/>
      <c r="F119" s="64"/>
      <c r="G119" s="64"/>
      <c r="H119" s="64"/>
      <c r="I119" s="64"/>
      <c r="J119" s="311"/>
      <c r="K119" s="311"/>
      <c r="L119" s="311"/>
      <c r="M119" s="312"/>
      <c r="N119" s="312"/>
      <c r="O119" s="312"/>
      <c r="P119" s="312"/>
      <c r="Q119" s="312"/>
      <c r="R119" s="311"/>
      <c r="S119" s="312"/>
      <c r="T119" s="312"/>
      <c r="U119" s="312"/>
      <c r="V119" s="312"/>
      <c r="W119" s="311"/>
      <c r="X119" s="312"/>
      <c r="Y119" s="312"/>
      <c r="Z119" s="312"/>
      <c r="AA119" s="312"/>
      <c r="AB119" s="311"/>
      <c r="AC119" s="311"/>
      <c r="AD119" s="311"/>
      <c r="AE119" s="311"/>
      <c r="AF119" s="311"/>
      <c r="AG119" s="311"/>
      <c r="AH119" s="311"/>
      <c r="AI119" s="311"/>
      <c r="AJ119" s="311"/>
      <c r="AK119" s="311">
        <v>-3.7999999999999999E-2</v>
      </c>
    </row>
    <row r="120" spans="1:37">
      <c r="B120" s="314" t="s">
        <v>178</v>
      </c>
      <c r="C120" s="64"/>
      <c r="D120" s="310" t="s">
        <v>163</v>
      </c>
      <c r="E120" s="64"/>
      <c r="F120" s="64"/>
      <c r="G120" s="64"/>
      <c r="H120" s="64"/>
      <c r="I120" s="64"/>
      <c r="J120" s="311"/>
      <c r="K120" s="311"/>
      <c r="L120" s="311"/>
      <c r="M120" s="312"/>
      <c r="N120" s="312"/>
      <c r="O120" s="312"/>
      <c r="P120" s="312"/>
      <c r="Q120" s="312"/>
      <c r="R120" s="311"/>
      <c r="S120" s="312"/>
      <c r="T120" s="312"/>
      <c r="U120" s="312"/>
      <c r="V120" s="312"/>
      <c r="W120" s="311"/>
      <c r="X120" s="312"/>
      <c r="Y120" s="312"/>
      <c r="Z120" s="312"/>
      <c r="AA120" s="312"/>
      <c r="AB120" s="311"/>
      <c r="AC120" s="311"/>
      <c r="AD120" s="311"/>
      <c r="AE120" s="311"/>
      <c r="AF120" s="311">
        <v>1E-3</v>
      </c>
      <c r="AG120" s="311"/>
      <c r="AH120" s="311">
        <v>1E-3</v>
      </c>
      <c r="AI120" s="311"/>
      <c r="AJ120" s="311"/>
      <c r="AK120" s="311"/>
    </row>
    <row r="121" spans="1:37">
      <c r="A121" s="9"/>
      <c r="B121" s="314" t="s">
        <v>174</v>
      </c>
      <c r="C121" s="64"/>
      <c r="D121" s="310" t="s">
        <v>163</v>
      </c>
      <c r="E121" s="64"/>
      <c r="F121" s="64"/>
      <c r="G121" s="64"/>
      <c r="H121" s="64"/>
      <c r="I121" s="64"/>
      <c r="J121" s="311">
        <f>-5524.89/312495.47</f>
        <v>-1.767990428789256E-2</v>
      </c>
      <c r="K121" s="311">
        <f>-6522.04/321317.8</f>
        <v>-2.0297786179290411E-2</v>
      </c>
      <c r="L121" s="311">
        <f>-7924.39/405550.37</f>
        <v>-1.9539841623125633E-2</v>
      </c>
      <c r="M121" s="312"/>
      <c r="N121" s="312"/>
      <c r="O121" s="312"/>
      <c r="P121" s="312"/>
      <c r="Q121" s="312"/>
      <c r="R121" s="311">
        <f>-(8207.56-13652.06)/418929.9</f>
        <v>1.2996207718761539E-2</v>
      </c>
      <c r="S121" s="312"/>
      <c r="T121" s="312"/>
      <c r="U121" s="312"/>
      <c r="V121" s="312"/>
      <c r="W121" s="311">
        <f>(-9653.72-13685.55)/471776.01</f>
        <v>-4.9471082686039919E-2</v>
      </c>
      <c r="X121" s="312"/>
      <c r="Y121" s="312"/>
      <c r="Z121" s="312"/>
      <c r="AA121" s="312"/>
      <c r="AB121" s="311">
        <f>(-9179.26-3709.39)/488051.19</f>
        <v>-2.6408397856790389E-2</v>
      </c>
      <c r="AC121" s="311">
        <v>-8.9099999999999999E-2</v>
      </c>
      <c r="AD121" s="311">
        <v>-5.2499999999999998E-2</v>
      </c>
      <c r="AE121" s="311">
        <v>-5.8000000000000003E-2</v>
      </c>
      <c r="AF121" s="311">
        <v>-0.06</v>
      </c>
      <c r="AG121" s="311">
        <v>-1.9E-2</v>
      </c>
      <c r="AH121" s="311">
        <v>-1.9E-2</v>
      </c>
      <c r="AI121" s="311">
        <v>-0.02</v>
      </c>
      <c r="AJ121" s="311">
        <v>-0.02</v>
      </c>
      <c r="AK121" s="311">
        <v>-1.9E-2</v>
      </c>
    </row>
    <row r="122" spans="1:37">
      <c r="B122" s="314" t="s">
        <v>175</v>
      </c>
      <c r="C122" s="64"/>
      <c r="D122" s="310" t="s">
        <v>163</v>
      </c>
      <c r="E122" s="64"/>
      <c r="F122" s="64"/>
      <c r="G122" s="64"/>
      <c r="H122" s="64"/>
      <c r="I122" s="64"/>
      <c r="J122" s="311">
        <f>-21734.05/312495.47</f>
        <v>-6.9549968196338977E-2</v>
      </c>
      <c r="K122" s="311">
        <f>-14321.7/321317.8</f>
        <v>-4.4571760419124001E-2</v>
      </c>
      <c r="L122" s="311">
        <f>-11525.89/405550.37</f>
        <v>-2.8420366131092421E-2</v>
      </c>
      <c r="M122" s="312"/>
      <c r="N122" s="312"/>
      <c r="O122" s="312"/>
      <c r="P122" s="312"/>
      <c r="Q122" s="312"/>
      <c r="R122" s="311">
        <f>-2501.81/418929.9</f>
        <v>-5.9719060396500696E-3</v>
      </c>
      <c r="S122" s="312"/>
      <c r="T122" s="312"/>
      <c r="U122" s="312"/>
      <c r="V122" s="312"/>
      <c r="W122" s="311">
        <f>4654.02/471776.01</f>
        <v>9.8648932996826186E-3</v>
      </c>
      <c r="X122" s="312"/>
      <c r="Y122" s="312"/>
      <c r="Z122" s="312"/>
      <c r="AA122" s="312"/>
      <c r="AB122" s="311">
        <f>-32.95/488051.19</f>
        <v>-6.7513409812605931E-5</v>
      </c>
      <c r="AC122" s="311"/>
      <c r="AD122" s="311">
        <v>4.0000000000000002E-4</v>
      </c>
      <c r="AE122" s="311"/>
      <c r="AF122" s="311"/>
      <c r="AG122" s="311"/>
      <c r="AH122" s="311"/>
      <c r="AI122" s="311"/>
      <c r="AJ122" s="311"/>
      <c r="AK122" s="311">
        <v>1E-3</v>
      </c>
    </row>
    <row r="123" spans="1:37">
      <c r="B123" s="314" t="s">
        <v>176</v>
      </c>
      <c r="C123" s="64"/>
      <c r="D123" s="310" t="s">
        <v>163</v>
      </c>
      <c r="E123" s="64"/>
      <c r="F123" s="64"/>
      <c r="G123" s="64"/>
      <c r="H123" s="64"/>
      <c r="I123" s="64"/>
      <c r="J123" s="311"/>
      <c r="K123" s="311"/>
      <c r="L123" s="311"/>
      <c r="M123" s="312"/>
      <c r="N123" s="312"/>
      <c r="O123" s="312"/>
      <c r="P123" s="312"/>
      <c r="Q123" s="312"/>
      <c r="R123" s="311"/>
      <c r="S123" s="312"/>
      <c r="T123" s="312"/>
      <c r="U123" s="312"/>
      <c r="V123" s="312"/>
      <c r="W123" s="311"/>
      <c r="X123" s="312"/>
      <c r="Y123" s="312"/>
      <c r="Z123" s="312"/>
      <c r="AA123" s="312"/>
      <c r="AB123" s="311"/>
      <c r="AC123" s="311"/>
      <c r="AD123" s="311"/>
      <c r="AE123" s="311">
        <v>-6.0000000000000001E-3</v>
      </c>
      <c r="AF123" s="311"/>
      <c r="AG123" s="311"/>
      <c r="AH123" s="311"/>
      <c r="AI123" s="311"/>
      <c r="AJ123" s="311"/>
      <c r="AK123" s="311"/>
    </row>
    <row r="124" spans="1:37">
      <c r="J124" s="246"/>
      <c r="K124" s="246"/>
      <c r="L124" s="246"/>
      <c r="M124" s="309"/>
      <c r="N124" s="309"/>
      <c r="O124" s="309"/>
      <c r="P124" s="309"/>
      <c r="Q124" s="309"/>
      <c r="R124" s="246"/>
      <c r="S124" s="309"/>
      <c r="T124" s="309"/>
      <c r="U124" s="309"/>
      <c r="V124" s="309"/>
      <c r="W124" s="246"/>
      <c r="X124" s="309"/>
      <c r="Y124" s="309"/>
      <c r="Z124" s="309"/>
      <c r="AA124" s="309"/>
      <c r="AB124" s="246"/>
      <c r="AC124" s="246"/>
      <c r="AD124" s="246"/>
      <c r="AE124" s="246"/>
      <c r="AF124" s="246"/>
      <c r="AG124" s="246"/>
      <c r="AH124" s="246"/>
      <c r="AI124" s="246"/>
      <c r="AJ124" s="246"/>
      <c r="AK124" s="246"/>
    </row>
    <row r="125" spans="1:37">
      <c r="B125" s="315" t="s">
        <v>170</v>
      </c>
      <c r="C125" s="316"/>
      <c r="D125" s="317" t="s">
        <v>165</v>
      </c>
      <c r="E125" s="316"/>
      <c r="F125" s="316"/>
      <c r="G125" s="316"/>
      <c r="H125" s="316"/>
      <c r="I125" s="316"/>
      <c r="J125" s="318"/>
      <c r="K125" s="318"/>
      <c r="L125" s="318"/>
      <c r="M125" s="319"/>
      <c r="N125" s="319"/>
      <c r="O125" s="319"/>
      <c r="P125" s="319"/>
      <c r="Q125" s="319"/>
      <c r="R125" s="318"/>
      <c r="S125" s="319"/>
      <c r="T125" s="319"/>
      <c r="U125" s="319"/>
      <c r="V125" s="319"/>
      <c r="W125" s="318">
        <f>-6762.81/206929.82</f>
        <v>-3.2681659898027265E-2</v>
      </c>
      <c r="X125" s="319"/>
      <c r="Y125" s="319"/>
      <c r="Z125" s="319"/>
      <c r="AA125" s="319"/>
      <c r="AB125" s="318">
        <f>-280.68/202425.08</f>
        <v>-1.386587077055867E-3</v>
      </c>
      <c r="AC125" s="318">
        <v>-1.9800000000000002E-2</v>
      </c>
      <c r="AD125" s="318"/>
      <c r="AE125" s="318"/>
      <c r="AF125" s="318"/>
      <c r="AG125" s="318"/>
      <c r="AH125" s="318"/>
      <c r="AI125" s="318"/>
      <c r="AJ125" s="318"/>
      <c r="AK125" s="318"/>
    </row>
    <row r="126" spans="1:37">
      <c r="B126" s="315" t="s">
        <v>171</v>
      </c>
      <c r="C126" s="316"/>
      <c r="D126" s="317" t="s">
        <v>165</v>
      </c>
      <c r="E126" s="316"/>
      <c r="F126" s="316"/>
      <c r="G126" s="316"/>
      <c r="H126" s="316"/>
      <c r="I126" s="316"/>
      <c r="J126" s="318"/>
      <c r="K126" s="318"/>
      <c r="L126" s="318"/>
      <c r="M126" s="319"/>
      <c r="N126" s="319"/>
      <c r="O126" s="319"/>
      <c r="P126" s="319"/>
      <c r="Q126" s="319"/>
      <c r="R126" s="318"/>
      <c r="S126" s="319"/>
      <c r="T126" s="319"/>
      <c r="U126" s="319"/>
      <c r="V126" s="319"/>
      <c r="W126" s="318"/>
      <c r="X126" s="319"/>
      <c r="Y126" s="319"/>
      <c r="Z126" s="319"/>
      <c r="AA126" s="319"/>
      <c r="AB126" s="318"/>
      <c r="AC126" s="318">
        <v>-6.3E-3</v>
      </c>
      <c r="AD126" s="318">
        <v>-1.2999999999999999E-3</v>
      </c>
      <c r="AE126" s="318">
        <v>-1E-3</v>
      </c>
      <c r="AF126" s="318"/>
      <c r="AG126" s="318">
        <v>-1E-3</v>
      </c>
      <c r="AH126" s="318">
        <v>-1.4E-2</v>
      </c>
      <c r="AI126" s="318">
        <v>1E-3</v>
      </c>
      <c r="AJ126" s="318">
        <v>7.0000000000000001E-3</v>
      </c>
      <c r="AK126" s="318"/>
    </row>
    <row r="127" spans="1:37">
      <c r="B127" s="315" t="s">
        <v>181</v>
      </c>
      <c r="C127" s="316"/>
      <c r="D127" s="317" t="s">
        <v>165</v>
      </c>
      <c r="E127" s="316"/>
      <c r="F127" s="316"/>
      <c r="G127" s="316"/>
      <c r="H127" s="316"/>
      <c r="I127" s="316"/>
      <c r="J127" s="318"/>
      <c r="K127" s="318"/>
      <c r="L127" s="318"/>
      <c r="M127" s="319"/>
      <c r="N127" s="319"/>
      <c r="O127" s="319"/>
      <c r="P127" s="319"/>
      <c r="Q127" s="319"/>
      <c r="R127" s="318"/>
      <c r="S127" s="319"/>
      <c r="T127" s="319"/>
      <c r="U127" s="319"/>
      <c r="V127" s="319"/>
      <c r="W127" s="318"/>
      <c r="X127" s="319"/>
      <c r="Y127" s="319"/>
      <c r="Z127" s="319"/>
      <c r="AA127" s="319"/>
      <c r="AB127" s="318"/>
      <c r="AC127" s="318"/>
      <c r="AD127" s="318"/>
      <c r="AE127" s="318"/>
      <c r="AF127" s="318">
        <v>-1E-3</v>
      </c>
      <c r="AG127" s="318"/>
      <c r="AH127" s="318"/>
      <c r="AI127" s="318"/>
      <c r="AJ127" s="318"/>
      <c r="AK127" s="318"/>
    </row>
    <row r="128" spans="1:37">
      <c r="B128" s="315" t="s">
        <v>180</v>
      </c>
      <c r="C128" s="316"/>
      <c r="D128" s="317" t="s">
        <v>165</v>
      </c>
      <c r="E128" s="316"/>
      <c r="F128" s="316"/>
      <c r="G128" s="316"/>
      <c r="H128" s="316"/>
      <c r="I128" s="316"/>
      <c r="J128" s="318"/>
      <c r="K128" s="318"/>
      <c r="L128" s="318"/>
      <c r="M128" s="319"/>
      <c r="N128" s="319"/>
      <c r="O128" s="319"/>
      <c r="P128" s="319"/>
      <c r="Q128" s="319"/>
      <c r="R128" s="318"/>
      <c r="S128" s="319"/>
      <c r="T128" s="319"/>
      <c r="U128" s="319"/>
      <c r="V128" s="319"/>
      <c r="W128" s="318"/>
      <c r="X128" s="319"/>
      <c r="Y128" s="319"/>
      <c r="Z128" s="319"/>
      <c r="AA128" s="319"/>
      <c r="AB128" s="318"/>
      <c r="AC128" s="318"/>
      <c r="AD128" s="318"/>
      <c r="AE128" s="318"/>
      <c r="AF128" s="318"/>
      <c r="AG128" s="318">
        <v>-1.7000000000000001E-2</v>
      </c>
      <c r="AH128" s="318">
        <v>-1.7999999999999999E-2</v>
      </c>
      <c r="AI128" s="318"/>
      <c r="AJ128" s="318"/>
      <c r="AK128" s="318"/>
    </row>
    <row r="129" spans="1:37">
      <c r="B129" s="315" t="s">
        <v>179</v>
      </c>
      <c r="C129" s="316"/>
      <c r="D129" s="317"/>
      <c r="E129" s="316"/>
      <c r="F129" s="316"/>
      <c r="G129" s="316"/>
      <c r="H129" s="316"/>
      <c r="I129" s="316"/>
      <c r="J129" s="318"/>
      <c r="K129" s="318"/>
      <c r="L129" s="318"/>
      <c r="M129" s="319"/>
      <c r="N129" s="319"/>
      <c r="O129" s="319"/>
      <c r="P129" s="319"/>
      <c r="Q129" s="319"/>
      <c r="R129" s="318"/>
      <c r="S129" s="319"/>
      <c r="T129" s="319"/>
      <c r="U129" s="319"/>
      <c r="V129" s="319"/>
      <c r="W129" s="318"/>
      <c r="X129" s="319"/>
      <c r="Y129" s="319"/>
      <c r="Z129" s="319"/>
      <c r="AA129" s="319"/>
      <c r="AB129" s="318"/>
      <c r="AC129" s="318"/>
      <c r="AD129" s="318"/>
      <c r="AE129" s="318"/>
      <c r="AF129" s="318"/>
      <c r="AG129" s="318"/>
      <c r="AH129" s="318">
        <v>-1.0999999999999999E-2</v>
      </c>
      <c r="AI129" s="318"/>
      <c r="AJ129" s="318"/>
      <c r="AK129" s="318"/>
    </row>
    <row r="130" spans="1:37">
      <c r="A130" s="9"/>
      <c r="B130" s="315" t="s">
        <v>174</v>
      </c>
      <c r="C130" s="316"/>
      <c r="D130" s="317" t="s">
        <v>165</v>
      </c>
      <c r="E130" s="316"/>
      <c r="F130" s="316"/>
      <c r="G130" s="316"/>
      <c r="H130" s="316"/>
      <c r="I130" s="316"/>
      <c r="J130" s="318">
        <f>-3823.94/250323.69</f>
        <v>-1.527598127049022E-2</v>
      </c>
      <c r="K130" s="318">
        <f>-2673.58/176352.13</f>
        <v>-1.5160463329816316E-2</v>
      </c>
      <c r="L130" s="318">
        <f>-3392.85/215908.86</f>
        <v>-1.5714269437576579E-2</v>
      </c>
      <c r="M130" s="319"/>
      <c r="N130" s="319"/>
      <c r="O130" s="319"/>
      <c r="P130" s="319"/>
      <c r="Q130" s="319"/>
      <c r="R130" s="318">
        <f>(-3507.2-4421.56)/192604.78</f>
        <v>-4.1165956525066515E-2</v>
      </c>
      <c r="S130" s="319"/>
      <c r="T130" s="319"/>
      <c r="U130" s="319"/>
      <c r="V130" s="319"/>
      <c r="W130" s="318">
        <f>(-3775.04-191.18)/206929.82</f>
        <v>-1.9166981346622734E-2</v>
      </c>
      <c r="X130" s="319"/>
      <c r="Y130" s="319"/>
      <c r="Z130" s="319"/>
      <c r="AA130" s="319"/>
      <c r="AB130" s="318">
        <f>-3563.99/202425.08</f>
        <v>-1.7606464574448977E-2</v>
      </c>
      <c r="AC130" s="318">
        <v>-1.7299999999999999E-2</v>
      </c>
      <c r="AD130" s="318">
        <v>-1.7299999999999999E-2</v>
      </c>
      <c r="AE130" s="318">
        <v>-1.6E-2</v>
      </c>
      <c r="AF130" s="318">
        <v>-1.7999999999999999E-2</v>
      </c>
      <c r="AG130" s="318">
        <v>-0.02</v>
      </c>
      <c r="AH130" s="318">
        <v>-1.9E-2</v>
      </c>
      <c r="AI130" s="318">
        <v>-1.9E-2</v>
      </c>
      <c r="AJ130" s="318">
        <v>-1.2E-2</v>
      </c>
      <c r="AK130" s="318">
        <v>-1.7000000000000001E-2</v>
      </c>
    </row>
    <row r="131" spans="1:37">
      <c r="B131" s="315" t="s">
        <v>175</v>
      </c>
      <c r="C131" s="316"/>
      <c r="D131" s="317" t="s">
        <v>165</v>
      </c>
      <c r="E131" s="316"/>
      <c r="F131" s="316"/>
      <c r="G131" s="316"/>
      <c r="H131" s="316"/>
      <c r="I131" s="316"/>
      <c r="J131" s="318">
        <f>-0.98/250323.69</f>
        <v>-3.9149311038040387E-6</v>
      </c>
      <c r="K131" s="318">
        <f>-2.56/176352.13</f>
        <v>-1.4516411001103303E-5</v>
      </c>
      <c r="L131" s="318">
        <f>1.54/215908.86</f>
        <v>7.1326392071173002E-6</v>
      </c>
      <c r="M131" s="319"/>
      <c r="N131" s="319"/>
      <c r="O131" s="319"/>
      <c r="P131" s="319"/>
      <c r="Q131" s="319"/>
      <c r="R131" s="318">
        <f>1.64/192604.78</f>
        <v>8.5148457893931802E-6</v>
      </c>
      <c r="S131" s="319"/>
      <c r="T131" s="319"/>
      <c r="U131" s="319"/>
      <c r="V131" s="319"/>
      <c r="W131" s="318">
        <f>2.66/206929.82</f>
        <v>1.2854599689885199E-5</v>
      </c>
      <c r="X131" s="319"/>
      <c r="Y131" s="319"/>
      <c r="Z131" s="319"/>
      <c r="AA131" s="319"/>
      <c r="AB131" s="318">
        <f>19.51/202425.08</f>
        <v>9.638133772751876E-5</v>
      </c>
      <c r="AC131" s="318"/>
      <c r="AD131" s="318"/>
      <c r="AE131" s="318"/>
      <c r="AF131" s="318"/>
      <c r="AG131" s="318"/>
      <c r="AH131" s="318"/>
      <c r="AI131" s="318"/>
      <c r="AJ131" s="318"/>
      <c r="AK131" s="318"/>
    </row>
    <row r="132" spans="1:37">
      <c r="B132" s="315" t="s">
        <v>176</v>
      </c>
      <c r="C132" s="316"/>
      <c r="D132" s="317" t="s">
        <v>165</v>
      </c>
      <c r="E132" s="316"/>
      <c r="F132" s="316"/>
      <c r="G132" s="316"/>
      <c r="H132" s="316"/>
      <c r="I132" s="316"/>
      <c r="J132" s="319"/>
      <c r="K132" s="319"/>
      <c r="L132" s="318"/>
      <c r="M132" s="319"/>
      <c r="N132" s="319"/>
      <c r="O132" s="319"/>
      <c r="P132" s="319"/>
      <c r="Q132" s="319"/>
      <c r="R132" s="319"/>
      <c r="S132" s="319"/>
      <c r="T132" s="319"/>
      <c r="U132" s="319"/>
      <c r="V132" s="319"/>
      <c r="W132" s="319"/>
      <c r="X132" s="319"/>
      <c r="Y132" s="319"/>
      <c r="Z132" s="319"/>
      <c r="AA132" s="319"/>
      <c r="AB132" s="318">
        <f>-12777.23/202425.08</f>
        <v>-6.3120785230762907E-2</v>
      </c>
      <c r="AC132" s="319"/>
      <c r="AD132" s="319"/>
      <c r="AE132" s="319"/>
      <c r="AF132" s="319"/>
      <c r="AG132" s="318">
        <v>-7.0000000000000001E-3</v>
      </c>
      <c r="AH132" s="318"/>
      <c r="AI132" s="318"/>
      <c r="AJ132" s="318"/>
      <c r="AK132" s="318"/>
    </row>
    <row r="133" spans="1:37">
      <c r="B133" s="315" t="s">
        <v>177</v>
      </c>
      <c r="C133" s="316"/>
      <c r="D133" s="317" t="s">
        <v>165</v>
      </c>
      <c r="E133" s="316"/>
      <c r="F133" s="316"/>
      <c r="G133" s="316"/>
      <c r="H133" s="316"/>
      <c r="I133" s="316"/>
      <c r="J133" s="319"/>
      <c r="K133" s="319"/>
      <c r="L133" s="319"/>
      <c r="M133" s="319"/>
      <c r="N133" s="319"/>
      <c r="O133" s="319"/>
      <c r="P133" s="319"/>
      <c r="Q133" s="319"/>
      <c r="R133" s="319"/>
      <c r="S133" s="319"/>
      <c r="T133" s="319"/>
      <c r="U133" s="319"/>
      <c r="V133" s="319"/>
      <c r="W133" s="319"/>
      <c r="X133" s="319"/>
      <c r="Y133" s="319"/>
      <c r="Z133" s="319"/>
      <c r="AA133" s="319"/>
      <c r="AB133" s="319"/>
      <c r="AC133" s="319">
        <v>-1.4200000000000001E-2</v>
      </c>
      <c r="AD133" s="319"/>
      <c r="AE133" s="319"/>
      <c r="AF133" s="319"/>
      <c r="AG133" s="319"/>
      <c r="AH133" s="319"/>
      <c r="AI133" s="319"/>
      <c r="AJ133" s="319"/>
      <c r="AK133" s="319"/>
    </row>
    <row r="134" spans="1:37">
      <c r="J134" s="309"/>
      <c r="K134" s="309"/>
      <c r="L134" s="309"/>
      <c r="M134" s="309"/>
      <c r="N134" s="309"/>
      <c r="O134" s="309"/>
      <c r="P134" s="309"/>
      <c r="Q134" s="309"/>
      <c r="R134" s="309"/>
      <c r="S134" s="309"/>
      <c r="T134" s="309"/>
      <c r="U134" s="309"/>
      <c r="V134" s="309"/>
      <c r="W134" s="309"/>
      <c r="X134" s="309"/>
      <c r="Y134" s="309"/>
      <c r="Z134" s="309"/>
      <c r="AA134" s="309"/>
      <c r="AB134" s="309"/>
      <c r="AC134" s="309"/>
      <c r="AD134" s="309"/>
    </row>
    <row r="135" spans="1:37">
      <c r="J135" s="309"/>
      <c r="K135" s="309"/>
      <c r="L135" s="309"/>
      <c r="M135" s="309"/>
      <c r="N135" s="309"/>
      <c r="O135" s="309"/>
      <c r="P135" s="309"/>
      <c r="Q135" s="309"/>
      <c r="R135" s="309"/>
      <c r="S135" s="309"/>
      <c r="T135" s="309"/>
      <c r="U135" s="309"/>
      <c r="V135" s="309"/>
      <c r="W135" s="309"/>
      <c r="X135" s="309"/>
      <c r="Y135" s="309"/>
      <c r="Z135" s="309"/>
      <c r="AA135" s="309"/>
      <c r="AB135" s="309"/>
      <c r="AC135" s="309"/>
      <c r="AD135" s="309"/>
    </row>
    <row r="136" spans="1:37">
      <c r="J136" s="309"/>
      <c r="K136" s="309"/>
      <c r="L136" s="309"/>
      <c r="M136" s="309"/>
      <c r="N136" s="309"/>
      <c r="O136" s="309"/>
      <c r="P136" s="309"/>
      <c r="Q136" s="309"/>
      <c r="R136" s="309"/>
      <c r="S136" s="309"/>
      <c r="T136" s="309"/>
      <c r="U136" s="309"/>
      <c r="V136" s="309"/>
      <c r="W136" s="309"/>
      <c r="X136" s="309"/>
      <c r="Y136" s="309"/>
      <c r="Z136" s="309"/>
      <c r="AA136" s="309"/>
      <c r="AB136" s="309"/>
      <c r="AC136" s="309"/>
      <c r="AD136" s="309"/>
    </row>
    <row r="137" spans="1:37">
      <c r="J137" s="309"/>
      <c r="K137" s="309"/>
      <c r="L137" s="309"/>
      <c r="M137" s="309"/>
      <c r="N137" s="309"/>
      <c r="O137" s="309"/>
      <c r="P137" s="309"/>
      <c r="Q137" s="309"/>
      <c r="R137" s="309"/>
      <c r="S137" s="309"/>
      <c r="T137" s="309"/>
      <c r="U137" s="309"/>
      <c r="V137" s="309"/>
      <c r="W137" s="309"/>
      <c r="X137" s="309"/>
      <c r="Y137" s="309"/>
      <c r="Z137" s="309"/>
      <c r="AA137" s="309"/>
      <c r="AB137" s="309"/>
      <c r="AC137" s="309"/>
      <c r="AD137" s="309"/>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863E3-9B93-4369-BDF0-32A869CA48CE}">
  <dimension ref="A1:J44"/>
  <sheetViews>
    <sheetView topLeftCell="A26" workbookViewId="0">
      <selection activeCell="J9" sqref="J9"/>
    </sheetView>
  </sheetViews>
  <sheetFormatPr defaultRowHeight="15"/>
  <cols>
    <col min="1" max="1" width="21.7109375" customWidth="1"/>
    <col min="2" max="2" width="38.5703125" customWidth="1"/>
    <col min="3" max="3" width="12.85546875" customWidth="1"/>
    <col min="4" max="4" width="15.42578125" customWidth="1"/>
  </cols>
  <sheetData>
    <row r="1" spans="1:10" ht="15.75">
      <c r="A1" s="296" t="s">
        <v>0</v>
      </c>
      <c r="B1" s="297" t="s">
        <v>1</v>
      </c>
      <c r="C1" s="298" t="s">
        <v>2</v>
      </c>
      <c r="D1" s="299" t="s">
        <v>3</v>
      </c>
      <c r="E1" s="300">
        <v>45931</v>
      </c>
      <c r="F1" s="300">
        <v>45962</v>
      </c>
      <c r="G1" s="300">
        <v>45992</v>
      </c>
      <c r="H1" s="300">
        <v>46023</v>
      </c>
      <c r="I1" s="300">
        <v>46054</v>
      </c>
      <c r="J1" s="300">
        <v>46082</v>
      </c>
    </row>
    <row r="2" spans="1:10" ht="29.25" customHeight="1">
      <c r="A2" s="301" t="s">
        <v>183</v>
      </c>
    </row>
    <row r="3" spans="1:10">
      <c r="A3" s="281" t="s">
        <v>184</v>
      </c>
      <c r="B3" s="10"/>
      <c r="C3" s="36"/>
      <c r="D3" s="11"/>
      <c r="E3" s="101"/>
    </row>
    <row r="4" spans="1:10">
      <c r="A4" s="282"/>
      <c r="B4" s="9"/>
      <c r="C4" s="34"/>
      <c r="D4" t="s">
        <v>146</v>
      </c>
      <c r="E4" s="106"/>
      <c r="G4">
        <v>1</v>
      </c>
      <c r="J4">
        <v>2</v>
      </c>
    </row>
    <row r="5" spans="1:10">
      <c r="A5" s="282"/>
      <c r="B5" s="9"/>
      <c r="C5" s="34"/>
      <c r="D5" t="s">
        <v>76</v>
      </c>
      <c r="E5" s="106"/>
      <c r="I5">
        <v>1</v>
      </c>
      <c r="J5">
        <v>4</v>
      </c>
    </row>
    <row r="6" spans="1:10">
      <c r="A6" s="282"/>
      <c r="B6" s="9"/>
      <c r="C6" s="34"/>
      <c r="D6" t="s">
        <v>185</v>
      </c>
      <c r="E6" s="106"/>
    </row>
    <row r="7" spans="1:10">
      <c r="A7" s="282"/>
      <c r="B7" s="9"/>
      <c r="C7" s="34"/>
      <c r="D7" t="s">
        <v>89</v>
      </c>
      <c r="E7" s="106"/>
      <c r="I7">
        <v>1</v>
      </c>
      <c r="J7">
        <v>3</v>
      </c>
    </row>
    <row r="8" spans="1:10">
      <c r="A8" s="282"/>
      <c r="B8" s="9"/>
      <c r="C8" s="34"/>
      <c r="D8" t="s">
        <v>186</v>
      </c>
      <c r="E8" s="106"/>
      <c r="G8">
        <v>1</v>
      </c>
      <c r="J8">
        <v>1</v>
      </c>
    </row>
    <row r="9" spans="1:10">
      <c r="A9" s="282"/>
      <c r="B9" s="9"/>
      <c r="C9" s="34"/>
      <c r="D9" t="s">
        <v>187</v>
      </c>
      <c r="E9" s="106"/>
      <c r="I9">
        <v>1</v>
      </c>
    </row>
    <row r="10" spans="1:10">
      <c r="A10" s="282"/>
      <c r="B10" s="9"/>
      <c r="C10" s="34"/>
      <c r="D10" t="s">
        <v>188</v>
      </c>
      <c r="E10" s="106"/>
      <c r="J10">
        <v>2</v>
      </c>
    </row>
    <row r="11" spans="1:10">
      <c r="A11" s="281" t="s">
        <v>189</v>
      </c>
      <c r="B11" s="10"/>
      <c r="C11" s="36"/>
      <c r="D11" s="11"/>
      <c r="E11" s="101"/>
    </row>
    <row r="12" spans="1:10">
      <c r="A12" s="279"/>
      <c r="B12" t="s">
        <v>190</v>
      </c>
      <c r="C12" s="30" t="s">
        <v>191</v>
      </c>
      <c r="D12" t="s">
        <v>192</v>
      </c>
      <c r="E12" s="120"/>
    </row>
    <row r="13" spans="1:10">
      <c r="A13" s="279"/>
      <c r="B13" t="s">
        <v>193</v>
      </c>
      <c r="C13" s="30"/>
      <c r="E13" s="120"/>
    </row>
    <row r="14" spans="1:10">
      <c r="A14" s="279"/>
      <c r="B14" t="s">
        <v>194</v>
      </c>
      <c r="C14" s="30"/>
      <c r="E14" s="120"/>
    </row>
    <row r="15" spans="1:10">
      <c r="A15" s="281" t="s">
        <v>193</v>
      </c>
      <c r="B15" s="10"/>
      <c r="C15" s="129"/>
      <c r="D15" s="11"/>
      <c r="E15" s="163"/>
    </row>
    <row r="17" spans="1:5">
      <c r="A17" s="281" t="s">
        <v>195</v>
      </c>
      <c r="B17" s="10"/>
      <c r="C17" s="295">
        <v>0.9</v>
      </c>
      <c r="D17" s="11"/>
      <c r="E17" s="163"/>
    </row>
    <row r="19" spans="1:5">
      <c r="A19" s="281" t="s">
        <v>196</v>
      </c>
      <c r="B19" s="10"/>
      <c r="C19" s="295">
        <v>1</v>
      </c>
      <c r="D19" s="11"/>
      <c r="E19" s="163"/>
    </row>
    <row r="21" spans="1:5">
      <c r="A21" s="281" t="s">
        <v>197</v>
      </c>
      <c r="B21" s="10"/>
      <c r="C21" s="295">
        <v>0.9</v>
      </c>
      <c r="D21" s="11"/>
      <c r="E21" s="163"/>
    </row>
    <row r="24" spans="1:5" ht="25.5" customHeight="1">
      <c r="A24" s="301" t="s">
        <v>198</v>
      </c>
    </row>
    <row r="25" spans="1:5">
      <c r="A25" s="281" t="s">
        <v>199</v>
      </c>
      <c r="B25" s="10"/>
      <c r="C25" s="36"/>
      <c r="D25" s="11"/>
      <c r="E25" s="101"/>
    </row>
    <row r="26" spans="1:5">
      <c r="A26" s="279"/>
      <c r="C26" s="30" t="s">
        <v>191</v>
      </c>
      <c r="D26" t="s">
        <v>192</v>
      </c>
      <c r="E26" s="120"/>
    </row>
    <row r="27" spans="1:5">
      <c r="A27" s="281" t="s">
        <v>200</v>
      </c>
      <c r="B27" t="s">
        <v>201</v>
      </c>
      <c r="C27" s="35">
        <v>1</v>
      </c>
      <c r="E27" s="120"/>
    </row>
    <row r="28" spans="1:5">
      <c r="A28" s="279"/>
      <c r="C28" s="30"/>
      <c r="E28" s="120"/>
    </row>
    <row r="29" spans="1:5">
      <c r="A29" s="281" t="s">
        <v>202</v>
      </c>
      <c r="B29" s="10"/>
      <c r="C29" s="129"/>
      <c r="D29" s="11"/>
      <c r="E29" s="163"/>
    </row>
    <row r="31" spans="1:5">
      <c r="A31" s="281" t="s">
        <v>203</v>
      </c>
      <c r="B31" s="10"/>
      <c r="C31" s="295">
        <v>0.9</v>
      </c>
      <c r="D31" s="11"/>
      <c r="E31" s="163"/>
    </row>
    <row r="32" spans="1:5">
      <c r="A32" t="s">
        <v>204</v>
      </c>
    </row>
    <row r="33" spans="1:5">
      <c r="A33" s="281" t="s">
        <v>205</v>
      </c>
      <c r="B33" s="10"/>
      <c r="C33" s="295">
        <v>1</v>
      </c>
      <c r="D33" s="11"/>
      <c r="E33" s="163"/>
    </row>
    <row r="35" spans="1:5">
      <c r="A35" s="281" t="s">
        <v>197</v>
      </c>
      <c r="B35" s="10"/>
      <c r="C35" s="295">
        <v>0.9</v>
      </c>
      <c r="D35" s="11"/>
      <c r="E35" s="163"/>
    </row>
    <row r="37" spans="1:5">
      <c r="A37" s="281" t="s">
        <v>206</v>
      </c>
      <c r="B37" s="10"/>
      <c r="C37" s="295">
        <v>0.9</v>
      </c>
      <c r="D37" s="11"/>
      <c r="E37" s="163"/>
    </row>
    <row r="39" spans="1:5">
      <c r="A39" s="9" t="s">
        <v>207</v>
      </c>
    </row>
    <row r="41" spans="1:5">
      <c r="A41" s="9" t="s">
        <v>208</v>
      </c>
    </row>
    <row r="42" spans="1:5">
      <c r="A42" s="9" t="s">
        <v>209</v>
      </c>
    </row>
    <row r="43" spans="1:5">
      <c r="A43" s="9" t="s">
        <v>210</v>
      </c>
    </row>
    <row r="44" spans="1:5">
      <c r="A44" s="9" t="s">
        <v>211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B3713-AC1C-470C-AF4C-E7A46BFB73EF}">
  <dimension ref="A3:J40"/>
  <sheetViews>
    <sheetView workbookViewId="0">
      <pane xSplit="6" ySplit="3" topLeftCell="G35" activePane="bottomRight" state="frozen"/>
      <selection pane="bottomRight" activeCell="G10" sqref="G10"/>
      <selection pane="bottomLeft"/>
      <selection pane="topRight"/>
    </sheetView>
  </sheetViews>
  <sheetFormatPr defaultRowHeight="15"/>
  <cols>
    <col min="1" max="1" width="22.7109375" customWidth="1"/>
    <col min="3" max="3" width="16" customWidth="1"/>
    <col min="4" max="4" width="21.140625" customWidth="1"/>
    <col min="6" max="6" width="18.28515625" customWidth="1"/>
    <col min="7" max="7" width="28.85546875" customWidth="1"/>
  </cols>
  <sheetData>
    <row r="3" spans="1:10">
      <c r="A3" s="185" t="s">
        <v>212</v>
      </c>
      <c r="B3" s="185" t="s">
        <v>213</v>
      </c>
      <c r="C3" s="185" t="s">
        <v>214</v>
      </c>
      <c r="D3" s="185" t="s">
        <v>215</v>
      </c>
      <c r="E3" s="185" t="s">
        <v>216</v>
      </c>
      <c r="F3" s="185" t="s">
        <v>217</v>
      </c>
      <c r="G3" s="185" t="s">
        <v>218</v>
      </c>
    </row>
    <row r="4" spans="1:10">
      <c r="A4" s="362" t="s">
        <v>68</v>
      </c>
      <c r="B4" s="178" t="s">
        <v>219</v>
      </c>
      <c r="C4" s="178" t="s">
        <v>220</v>
      </c>
      <c r="D4" s="183">
        <v>334.8</v>
      </c>
      <c r="E4" s="181">
        <v>0.15812499999999999</v>
      </c>
      <c r="F4" s="188">
        <f>(D4/E4)*26</f>
        <v>55050.118577075104</v>
      </c>
      <c r="G4" s="177"/>
    </row>
    <row r="5" spans="1:10">
      <c r="A5" s="363"/>
      <c r="B5" s="179" t="s">
        <v>219</v>
      </c>
      <c r="C5" s="179" t="s">
        <v>221</v>
      </c>
      <c r="D5" s="184">
        <v>7044.5</v>
      </c>
      <c r="E5" s="181">
        <v>2.4137499999999998</v>
      </c>
      <c r="F5" s="188">
        <f t="shared" ref="F5:F39" si="0">(D5/E5)*26</f>
        <v>75880.683583635429</v>
      </c>
      <c r="G5" s="177" t="s">
        <v>222</v>
      </c>
      <c r="J5">
        <f>+F5/2080</f>
        <v>36.481097876747803</v>
      </c>
    </row>
    <row r="6" spans="1:10">
      <c r="A6" s="363"/>
      <c r="B6" s="179" t="s">
        <v>219</v>
      </c>
      <c r="C6" s="179" t="s">
        <v>223</v>
      </c>
      <c r="D6" s="184">
        <v>8175.44</v>
      </c>
      <c r="E6" s="181">
        <v>1.877375</v>
      </c>
      <c r="F6" s="188">
        <f t="shared" si="0"/>
        <v>113222.68593115387</v>
      </c>
      <c r="G6" s="177"/>
      <c r="J6">
        <f t="shared" ref="J6:J39" si="1">+F6/2080</f>
        <v>54.433983620747057</v>
      </c>
    </row>
    <row r="7" spans="1:10">
      <c r="A7" s="363"/>
      <c r="B7" s="179" t="s">
        <v>219</v>
      </c>
      <c r="C7" s="179" t="s">
        <v>224</v>
      </c>
      <c r="D7" s="184">
        <v>380</v>
      </c>
      <c r="E7" s="181">
        <v>0.14000000000000001</v>
      </c>
      <c r="F7" s="188">
        <f t="shared" si="0"/>
        <v>70571.428571428565</v>
      </c>
      <c r="G7" s="177"/>
      <c r="J7">
        <f t="shared" si="1"/>
        <v>33.928571428571423</v>
      </c>
    </row>
    <row r="8" spans="1:10">
      <c r="A8" s="363"/>
      <c r="B8" s="179" t="s">
        <v>219</v>
      </c>
      <c r="C8" s="179" t="s">
        <v>225</v>
      </c>
      <c r="D8" s="184">
        <v>3076.92</v>
      </c>
      <c r="E8" s="181">
        <v>1</v>
      </c>
      <c r="F8" s="188">
        <f t="shared" si="0"/>
        <v>79999.92</v>
      </c>
      <c r="G8" s="177" t="s">
        <v>226</v>
      </c>
      <c r="J8">
        <f t="shared" si="1"/>
        <v>38.461500000000001</v>
      </c>
    </row>
    <row r="9" spans="1:10">
      <c r="A9" s="364"/>
      <c r="B9" s="179" t="s">
        <v>219</v>
      </c>
      <c r="C9" s="179" t="s">
        <v>227</v>
      </c>
      <c r="D9" s="186">
        <v>23181.23</v>
      </c>
      <c r="E9" s="181">
        <v>4.7387499999999996</v>
      </c>
      <c r="F9" s="188">
        <f t="shared" si="0"/>
        <v>127187.96729095226</v>
      </c>
      <c r="G9" s="177"/>
      <c r="J9">
        <f t="shared" si="1"/>
        <v>61.148061197573206</v>
      </c>
    </row>
    <row r="10" spans="1:10">
      <c r="A10" s="365" t="s">
        <v>146</v>
      </c>
      <c r="B10" s="180" t="s">
        <v>219</v>
      </c>
      <c r="C10" s="180" t="s">
        <v>220</v>
      </c>
      <c r="D10" s="187">
        <v>120</v>
      </c>
      <c r="E10" s="182">
        <v>0.06</v>
      </c>
      <c r="F10" s="189">
        <f t="shared" si="0"/>
        <v>52000</v>
      </c>
      <c r="G10" s="177" t="s">
        <v>228</v>
      </c>
      <c r="J10">
        <f t="shared" si="1"/>
        <v>25</v>
      </c>
    </row>
    <row r="11" spans="1:10">
      <c r="A11" s="366"/>
      <c r="B11" s="180" t="s">
        <v>219</v>
      </c>
      <c r="C11" s="180" t="s">
        <v>221</v>
      </c>
      <c r="D11" s="187">
        <v>7712.14</v>
      </c>
      <c r="E11" s="182">
        <v>2.4137499999999998</v>
      </c>
      <c r="F11" s="189">
        <f t="shared" si="0"/>
        <v>83072.248575867445</v>
      </c>
      <c r="G11" s="177"/>
      <c r="J11">
        <f t="shared" si="1"/>
        <v>39.938581046090121</v>
      </c>
    </row>
    <row r="12" spans="1:10">
      <c r="A12" s="366"/>
      <c r="B12" s="180" t="s">
        <v>219</v>
      </c>
      <c r="C12" s="180" t="s">
        <v>223</v>
      </c>
      <c r="D12" s="187">
        <v>20673.84</v>
      </c>
      <c r="E12" s="182">
        <v>4.9587500000000002</v>
      </c>
      <c r="F12" s="189">
        <f t="shared" si="0"/>
        <v>108398.25359213512</v>
      </c>
      <c r="G12" s="177"/>
      <c r="J12">
        <f t="shared" si="1"/>
        <v>52.114544996218811</v>
      </c>
    </row>
    <row r="13" spans="1:10">
      <c r="A13" s="366"/>
      <c r="B13" s="180" t="s">
        <v>219</v>
      </c>
      <c r="C13" s="180" t="s">
        <v>224</v>
      </c>
      <c r="D13" s="187">
        <v>0</v>
      </c>
      <c r="E13" s="182">
        <v>0</v>
      </c>
      <c r="F13" s="189">
        <v>0</v>
      </c>
      <c r="G13" s="177"/>
      <c r="J13">
        <f t="shared" si="1"/>
        <v>0</v>
      </c>
    </row>
    <row r="14" spans="1:10">
      <c r="A14" s="366"/>
      <c r="B14" s="180" t="s">
        <v>219</v>
      </c>
      <c r="C14" s="180" t="s">
        <v>225</v>
      </c>
      <c r="D14" s="187">
        <v>0</v>
      </c>
      <c r="E14" s="182">
        <v>0</v>
      </c>
      <c r="F14" s="189">
        <v>0</v>
      </c>
      <c r="G14" s="177"/>
      <c r="J14">
        <f t="shared" si="1"/>
        <v>0</v>
      </c>
    </row>
    <row r="15" spans="1:10">
      <c r="A15" s="367"/>
      <c r="B15" s="180" t="s">
        <v>219</v>
      </c>
      <c r="C15" s="180" t="s">
        <v>227</v>
      </c>
      <c r="D15" s="187">
        <v>4775.6000000000004</v>
      </c>
      <c r="E15" s="182">
        <v>1.51</v>
      </c>
      <c r="F15" s="189">
        <f t="shared" si="0"/>
        <v>82228.874172185446</v>
      </c>
      <c r="G15" s="177"/>
      <c r="J15">
        <f t="shared" si="1"/>
        <v>39.533112582781463</v>
      </c>
    </row>
    <row r="16" spans="1:10">
      <c r="A16" s="362" t="s">
        <v>229</v>
      </c>
      <c r="B16" s="179" t="s">
        <v>230</v>
      </c>
      <c r="C16" s="179" t="s">
        <v>220</v>
      </c>
      <c r="D16" s="186">
        <v>10044.73</v>
      </c>
      <c r="E16" s="181">
        <v>5.1577500000000001</v>
      </c>
      <c r="F16" s="188">
        <f t="shared" si="0"/>
        <v>50635.059861373658</v>
      </c>
      <c r="G16" s="177"/>
      <c r="J16">
        <f t="shared" si="1"/>
        <v>24.343778779506568</v>
      </c>
    </row>
    <row r="17" spans="1:10">
      <c r="A17" s="363"/>
      <c r="B17" s="179" t="s">
        <v>230</v>
      </c>
      <c r="C17" s="179" t="s">
        <v>221</v>
      </c>
      <c r="D17" s="186">
        <v>14024.02</v>
      </c>
      <c r="E17" s="181">
        <v>4.1289999999999996</v>
      </c>
      <c r="F17" s="188">
        <f t="shared" si="0"/>
        <v>88308.190845240984</v>
      </c>
      <c r="G17" s="177"/>
      <c r="J17">
        <f t="shared" si="1"/>
        <v>42.455860983288936</v>
      </c>
    </row>
    <row r="18" spans="1:10">
      <c r="A18" s="363"/>
      <c r="B18" s="179" t="s">
        <v>230</v>
      </c>
      <c r="C18" s="179" t="s">
        <v>223</v>
      </c>
      <c r="D18" s="186">
        <v>25234.97</v>
      </c>
      <c r="E18" s="181">
        <v>5.6827500000000004</v>
      </c>
      <c r="F18" s="188">
        <f t="shared" si="0"/>
        <v>115456.28788878623</v>
      </c>
      <c r="G18" s="177"/>
      <c r="J18">
        <f t="shared" si="1"/>
        <v>55.507830715762609</v>
      </c>
    </row>
    <row r="19" spans="1:10">
      <c r="A19" s="363"/>
      <c r="B19" s="179" t="s">
        <v>230</v>
      </c>
      <c r="C19" s="179" t="s">
        <v>231</v>
      </c>
      <c r="D19" s="186">
        <v>0</v>
      </c>
      <c r="E19" s="181">
        <v>0</v>
      </c>
      <c r="F19" s="188">
        <v>0</v>
      </c>
      <c r="G19" s="177"/>
      <c r="J19">
        <f t="shared" si="1"/>
        <v>0</v>
      </c>
    </row>
    <row r="20" spans="1:10">
      <c r="A20" s="363"/>
      <c r="B20" s="179" t="s">
        <v>230</v>
      </c>
      <c r="C20" s="179" t="s">
        <v>224</v>
      </c>
      <c r="D20" s="186">
        <v>0</v>
      </c>
      <c r="E20" s="181">
        <v>0</v>
      </c>
      <c r="F20" s="188">
        <v>0</v>
      </c>
      <c r="G20" s="177"/>
      <c r="J20">
        <f t="shared" si="1"/>
        <v>0</v>
      </c>
    </row>
    <row r="21" spans="1:10">
      <c r="A21" s="363"/>
      <c r="B21" s="179" t="s">
        <v>230</v>
      </c>
      <c r="C21" s="179" t="s">
        <v>225</v>
      </c>
      <c r="D21" s="186">
        <v>9689.44</v>
      </c>
      <c r="E21" s="181">
        <v>3.01925</v>
      </c>
      <c r="F21" s="188">
        <f t="shared" si="0"/>
        <v>83439.741657696461</v>
      </c>
      <c r="G21" s="177"/>
      <c r="J21">
        <f t="shared" si="1"/>
        <v>40.115260412354068</v>
      </c>
    </row>
    <row r="22" spans="1:10">
      <c r="A22" s="363"/>
      <c r="B22" s="180" t="s">
        <v>232</v>
      </c>
      <c r="C22" s="180" t="s">
        <v>220</v>
      </c>
      <c r="D22" s="187">
        <v>8512.85</v>
      </c>
      <c r="E22" s="182">
        <v>4.1657500000000001</v>
      </c>
      <c r="F22" s="189">
        <f t="shared" si="0"/>
        <v>53131.873012062657</v>
      </c>
      <c r="G22" s="177"/>
      <c r="J22">
        <f t="shared" si="1"/>
        <v>25.544169717337816</v>
      </c>
    </row>
    <row r="23" spans="1:10">
      <c r="A23" s="363"/>
      <c r="B23" s="180" t="s">
        <v>232</v>
      </c>
      <c r="C23" s="180" t="s">
        <v>221</v>
      </c>
      <c r="D23" s="187">
        <v>3950.19</v>
      </c>
      <c r="E23" s="182">
        <v>1.1227499999999999</v>
      </c>
      <c r="F23" s="189">
        <f t="shared" si="0"/>
        <v>91476.232464929868</v>
      </c>
      <c r="G23" s="177"/>
      <c r="J23">
        <f t="shared" si="1"/>
        <v>43.978957915831664</v>
      </c>
    </row>
    <row r="24" spans="1:10">
      <c r="A24" s="363"/>
      <c r="B24" s="180" t="s">
        <v>232</v>
      </c>
      <c r="C24" s="180" t="s">
        <v>223</v>
      </c>
      <c r="D24" s="187">
        <v>19183.63</v>
      </c>
      <c r="E24" s="182">
        <v>4.1906249999999998</v>
      </c>
      <c r="F24" s="189">
        <f t="shared" si="0"/>
        <v>119021.47770320658</v>
      </c>
      <c r="G24" s="177"/>
      <c r="J24">
        <f t="shared" si="1"/>
        <v>57.221864280387777</v>
      </c>
    </row>
    <row r="25" spans="1:10">
      <c r="A25" s="363"/>
      <c r="B25" s="180" t="s">
        <v>232</v>
      </c>
      <c r="C25" s="180" t="s">
        <v>231</v>
      </c>
      <c r="D25" s="187">
        <v>1050</v>
      </c>
      <c r="E25" s="182">
        <v>0.11</v>
      </c>
      <c r="F25" s="189">
        <f t="shared" si="0"/>
        <v>248181.81818181821</v>
      </c>
      <c r="G25" s="177"/>
      <c r="J25">
        <f t="shared" si="1"/>
        <v>119.31818181818183</v>
      </c>
    </row>
    <row r="26" spans="1:10">
      <c r="A26" s="363"/>
      <c r="B26" s="180" t="s">
        <v>232</v>
      </c>
      <c r="C26" s="180" t="s">
        <v>224</v>
      </c>
      <c r="D26" s="187">
        <v>3122.13</v>
      </c>
      <c r="E26" s="182">
        <v>1.0033749999999999</v>
      </c>
      <c r="F26" s="189">
        <f t="shared" si="0"/>
        <v>80902.334620655296</v>
      </c>
      <c r="G26" s="177"/>
      <c r="J26">
        <f t="shared" si="1"/>
        <v>38.895353183007352</v>
      </c>
    </row>
    <row r="27" spans="1:10">
      <c r="A27" s="363"/>
      <c r="B27" s="180" t="s">
        <v>232</v>
      </c>
      <c r="C27" s="180" t="s">
        <v>225</v>
      </c>
      <c r="D27" s="187">
        <v>3893.48</v>
      </c>
      <c r="E27" s="182">
        <v>1.0135000000000001</v>
      </c>
      <c r="F27" s="189">
        <f t="shared" si="0"/>
        <v>99882.072027627029</v>
      </c>
      <c r="G27" s="177"/>
      <c r="J27">
        <f t="shared" si="1"/>
        <v>48.020226936359151</v>
      </c>
    </row>
    <row r="28" spans="1:10">
      <c r="A28" s="363"/>
      <c r="B28" s="179" t="s">
        <v>233</v>
      </c>
      <c r="C28" s="179" t="s">
        <v>220</v>
      </c>
      <c r="D28" s="186">
        <v>10967.42</v>
      </c>
      <c r="E28" s="181">
        <v>6.1513749999999998</v>
      </c>
      <c r="F28" s="188">
        <f t="shared" si="0"/>
        <v>46355.964316921018</v>
      </c>
      <c r="G28" s="177"/>
      <c r="J28">
        <f t="shared" si="1"/>
        <v>22.286521306212027</v>
      </c>
    </row>
    <row r="29" spans="1:10">
      <c r="A29" s="363"/>
      <c r="B29" s="179" t="s">
        <v>233</v>
      </c>
      <c r="C29" s="179" t="s">
        <v>221</v>
      </c>
      <c r="D29" s="186">
        <v>4029</v>
      </c>
      <c r="E29" s="181">
        <v>1.38</v>
      </c>
      <c r="F29" s="188">
        <f t="shared" si="0"/>
        <v>75908.695652173919</v>
      </c>
      <c r="G29" s="177"/>
      <c r="J29">
        <f t="shared" si="1"/>
        <v>36.494565217391305</v>
      </c>
    </row>
    <row r="30" spans="1:10">
      <c r="A30" s="363"/>
      <c r="B30" s="179" t="s">
        <v>233</v>
      </c>
      <c r="C30" s="179" t="s">
        <v>223</v>
      </c>
      <c r="D30" s="186">
        <v>27083.22</v>
      </c>
      <c r="E30" s="181">
        <v>5.8014999999999999</v>
      </c>
      <c r="F30" s="188">
        <f t="shared" si="0"/>
        <v>121376.14754804791</v>
      </c>
      <c r="G30" s="177"/>
      <c r="J30">
        <f t="shared" si="1"/>
        <v>58.353917090407649</v>
      </c>
    </row>
    <row r="31" spans="1:10">
      <c r="A31" s="363"/>
      <c r="B31" s="179" t="s">
        <v>233</v>
      </c>
      <c r="C31" s="179" t="s">
        <v>231</v>
      </c>
      <c r="D31" s="186">
        <v>0</v>
      </c>
      <c r="E31" s="181">
        <v>0</v>
      </c>
      <c r="F31" s="188">
        <v>0</v>
      </c>
      <c r="G31" s="177"/>
      <c r="J31">
        <f t="shared" si="1"/>
        <v>0</v>
      </c>
    </row>
    <row r="32" spans="1:10">
      <c r="A32" s="363"/>
      <c r="B32" s="179" t="s">
        <v>233</v>
      </c>
      <c r="C32" s="179" t="s">
        <v>224</v>
      </c>
      <c r="D32" s="186">
        <v>5950.77</v>
      </c>
      <c r="E32" s="181">
        <v>2</v>
      </c>
      <c r="F32" s="188">
        <f t="shared" si="0"/>
        <v>77360.010000000009</v>
      </c>
      <c r="G32" s="177"/>
      <c r="J32">
        <f t="shared" si="1"/>
        <v>37.192312500000007</v>
      </c>
    </row>
    <row r="33" spans="1:10">
      <c r="A33" s="363"/>
      <c r="B33" s="179" t="s">
        <v>233</v>
      </c>
      <c r="C33" s="179" t="s">
        <v>225</v>
      </c>
      <c r="D33" s="186">
        <v>2961.54</v>
      </c>
      <c r="E33" s="181">
        <v>1</v>
      </c>
      <c r="F33" s="188">
        <f t="shared" si="0"/>
        <v>77000.039999999994</v>
      </c>
      <c r="G33" s="177"/>
      <c r="J33">
        <f t="shared" si="1"/>
        <v>37.01925</v>
      </c>
    </row>
    <row r="34" spans="1:10">
      <c r="A34" s="363"/>
      <c r="B34" s="179" t="s">
        <v>233</v>
      </c>
      <c r="C34" s="179" t="s">
        <v>234</v>
      </c>
      <c r="D34" s="186">
        <v>5015.8500000000004</v>
      </c>
      <c r="E34" s="181">
        <v>1</v>
      </c>
      <c r="F34" s="188">
        <f t="shared" si="0"/>
        <v>130412.1</v>
      </c>
      <c r="G34" s="177" t="s">
        <v>235</v>
      </c>
      <c r="J34">
        <f t="shared" si="1"/>
        <v>62.698125000000005</v>
      </c>
    </row>
    <row r="35" spans="1:10">
      <c r="A35" s="363"/>
      <c r="B35" s="180" t="s">
        <v>236</v>
      </c>
      <c r="C35" s="180" t="s">
        <v>220</v>
      </c>
      <c r="D35" s="187">
        <v>4117.2</v>
      </c>
      <c r="E35" s="182">
        <v>1.99525</v>
      </c>
      <c r="F35" s="189">
        <f t="shared" si="0"/>
        <v>53651.021175291316</v>
      </c>
      <c r="G35" s="177"/>
      <c r="J35">
        <f t="shared" si="1"/>
        <v>25.793760180428517</v>
      </c>
    </row>
    <row r="36" spans="1:10">
      <c r="A36" s="363"/>
      <c r="B36" s="191" t="s">
        <v>236</v>
      </c>
      <c r="C36" s="191" t="s">
        <v>221</v>
      </c>
      <c r="D36" s="192">
        <v>7852.49</v>
      </c>
      <c r="E36" s="193">
        <v>1.83</v>
      </c>
      <c r="F36" s="194">
        <f t="shared" si="0"/>
        <v>111565.43169398906</v>
      </c>
      <c r="G36" s="177" t="s">
        <v>237</v>
      </c>
      <c r="J36">
        <f t="shared" si="1"/>
        <v>53.637226775956279</v>
      </c>
    </row>
    <row r="37" spans="1:10">
      <c r="A37" s="363"/>
      <c r="B37" s="191" t="s">
        <v>236</v>
      </c>
      <c r="C37" s="191" t="s">
        <v>223</v>
      </c>
      <c r="D37" s="192">
        <v>4862.38</v>
      </c>
      <c r="E37" s="193">
        <v>1.1291249999999999</v>
      </c>
      <c r="F37" s="194">
        <f t="shared" si="0"/>
        <v>111964.46806155209</v>
      </c>
      <c r="G37" s="177"/>
      <c r="J37">
        <f t="shared" si="1"/>
        <v>53.829071183438508</v>
      </c>
    </row>
    <row r="38" spans="1:10">
      <c r="A38" s="363"/>
      <c r="B38" s="180" t="s">
        <v>236</v>
      </c>
      <c r="C38" s="180" t="s">
        <v>231</v>
      </c>
      <c r="D38" s="187">
        <v>0</v>
      </c>
      <c r="E38" s="182">
        <v>0</v>
      </c>
      <c r="F38" s="189">
        <v>0</v>
      </c>
      <c r="G38" s="177"/>
      <c r="J38">
        <f t="shared" si="1"/>
        <v>0</v>
      </c>
    </row>
    <row r="39" spans="1:10">
      <c r="A39" s="363"/>
      <c r="B39" s="180" t="s">
        <v>236</v>
      </c>
      <c r="C39" s="180" t="s">
        <v>224</v>
      </c>
      <c r="D39" s="187">
        <v>2916</v>
      </c>
      <c r="E39" s="182">
        <v>1.0006250000000001</v>
      </c>
      <c r="F39" s="189">
        <f t="shared" si="0"/>
        <v>75768.644597126782</v>
      </c>
      <c r="G39" s="177" t="s">
        <v>238</v>
      </c>
      <c r="J39">
        <f t="shared" si="1"/>
        <v>36.427232979387874</v>
      </c>
    </row>
    <row r="40" spans="1:10">
      <c r="A40" s="364"/>
      <c r="B40" s="180" t="s">
        <v>236</v>
      </c>
      <c r="C40" s="180" t="s">
        <v>225</v>
      </c>
      <c r="D40" s="187">
        <v>0</v>
      </c>
      <c r="E40" s="182">
        <v>0</v>
      </c>
      <c r="F40" s="189">
        <v>0</v>
      </c>
      <c r="G40" s="177"/>
    </row>
  </sheetData>
  <mergeCells count="3">
    <mergeCell ref="A4:A9"/>
    <mergeCell ref="A10:A15"/>
    <mergeCell ref="A16:A4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F21C0-A850-4B92-B881-B343191153F1}">
  <dimension ref="A1:CE99"/>
  <sheetViews>
    <sheetView workbookViewId="0">
      <pane xSplit="12" ySplit="2" topLeftCell="AN3" activePane="bottomRight" state="frozen"/>
      <selection pane="bottomRight" activeCell="A84" sqref="A84"/>
      <selection pane="bottomLeft"/>
      <selection pane="topRight"/>
    </sheetView>
  </sheetViews>
  <sheetFormatPr defaultColWidth="9.140625" defaultRowHeight="15" outlineLevelCol="1"/>
  <cols>
    <col min="1" max="1" width="35.5703125" style="39" customWidth="1"/>
    <col min="2" max="2" width="24.7109375" style="56" customWidth="1"/>
    <col min="3" max="3" width="12.85546875" customWidth="1"/>
    <col min="4" max="7" width="9.140625" hidden="1" customWidth="1"/>
    <col min="8" max="8" width="10.42578125" hidden="1" customWidth="1"/>
    <col min="9" max="12" width="9.140625" hidden="1" customWidth="1"/>
    <col min="13" max="13" width="9.140625" customWidth="1"/>
    <col min="14" max="15" width="9.140625" hidden="1" customWidth="1" outlineLevel="1"/>
    <col min="16" max="16" width="9.5703125" hidden="1" customWidth="1" outlineLevel="1"/>
    <col min="17" max="18" width="9.140625" hidden="1" customWidth="1" outlineLevel="1"/>
    <col min="19" max="19" width="9.140625" customWidth="1" collapsed="1"/>
    <col min="20" max="23" width="9.140625" hidden="1" customWidth="1" outlineLevel="1"/>
    <col min="24" max="24" width="9.140625" customWidth="1" collapsed="1"/>
    <col min="25" max="28" width="9.140625" hidden="1" customWidth="1" outlineLevel="1"/>
    <col min="29" max="29" width="9.140625" customWidth="1" collapsed="1"/>
    <col min="30" max="34" width="9.140625" hidden="1" customWidth="1" outlineLevel="1"/>
    <col min="35" max="35" width="9.140625" customWidth="1" collapsed="1"/>
    <col min="36" max="36" width="9.42578125" hidden="1" customWidth="1"/>
    <col min="37" max="39" width="9.140625" hidden="1" customWidth="1"/>
    <col min="40" max="40" width="9.140625" customWidth="1"/>
    <col min="41" max="44" width="9.140625" hidden="1" customWidth="1"/>
    <col min="45" max="45" width="9.140625" customWidth="1"/>
    <col min="46" max="47" width="9.7109375" hidden="1" customWidth="1"/>
    <col min="48" max="48" width="10.42578125" hidden="1" customWidth="1"/>
    <col min="49" max="50" width="11.5703125" hidden="1" customWidth="1"/>
    <col min="51" max="51" width="9.140625" customWidth="1"/>
    <col min="52" max="52" width="11.5703125" hidden="1" customWidth="1"/>
    <col min="53" max="53" width="9.85546875" hidden="1" customWidth="1"/>
    <col min="54" max="54" width="10.85546875" hidden="1" customWidth="1"/>
    <col min="55" max="55" width="10.7109375" hidden="1" customWidth="1"/>
    <col min="56" max="56" width="9.140625" customWidth="1"/>
    <col min="57" max="61" width="9.140625" hidden="1" customWidth="1"/>
    <col min="63" max="63" width="10.140625" hidden="1" customWidth="1" outlineLevel="1"/>
    <col min="64" max="66" width="9.140625" hidden="1" customWidth="1" outlineLevel="1"/>
    <col min="67" max="67" width="9.140625" style="40" collapsed="1"/>
    <col min="68" max="71" width="9.140625" style="40" hidden="1" customWidth="1" outlineLevel="1"/>
    <col min="72" max="72" width="9.140625" style="40" collapsed="1"/>
    <col min="73" max="76" width="9.140625" hidden="1" customWidth="1" outlineLevel="1"/>
    <col min="77" max="77" width="9.140625" collapsed="1"/>
    <col min="78" max="82" width="9.140625" customWidth="1" outlineLevel="1"/>
  </cols>
  <sheetData>
    <row r="1" spans="1:83" ht="30.75" hidden="1">
      <c r="A1" s="32" t="s">
        <v>239</v>
      </c>
      <c r="B1" s="55"/>
      <c r="BY1" s="40"/>
      <c r="CE1" s="40"/>
    </row>
    <row r="2" spans="1:83">
      <c r="A2" s="49" t="s">
        <v>0</v>
      </c>
      <c r="B2" s="53" t="s">
        <v>2</v>
      </c>
      <c r="C2" s="7" t="s">
        <v>3</v>
      </c>
      <c r="D2" s="8">
        <v>45690</v>
      </c>
      <c r="E2" s="8">
        <f t="shared" ref="E2:L2" si="0">D2+7</f>
        <v>45697</v>
      </c>
      <c r="F2" s="8">
        <f t="shared" si="0"/>
        <v>45704</v>
      </c>
      <c r="G2" s="99">
        <f t="shared" si="0"/>
        <v>45711</v>
      </c>
      <c r="H2" s="159">
        <v>45689</v>
      </c>
      <c r="I2" s="8">
        <f>G2+7</f>
        <v>45718</v>
      </c>
      <c r="J2" s="8">
        <f t="shared" si="0"/>
        <v>45725</v>
      </c>
      <c r="K2" s="8">
        <f t="shared" si="0"/>
        <v>45732</v>
      </c>
      <c r="L2" s="99">
        <f t="shared" si="0"/>
        <v>45739</v>
      </c>
      <c r="M2" s="167">
        <v>45717</v>
      </c>
      <c r="N2" s="8" t="s">
        <v>8</v>
      </c>
      <c r="O2" s="8" t="s">
        <v>9</v>
      </c>
      <c r="P2" s="164" t="s">
        <v>10</v>
      </c>
      <c r="Q2" s="8" t="s">
        <v>11</v>
      </c>
      <c r="R2" s="99" t="s">
        <v>12</v>
      </c>
      <c r="S2" s="159">
        <v>45748</v>
      </c>
      <c r="T2" s="8" t="s">
        <v>13</v>
      </c>
      <c r="U2" s="8" t="s">
        <v>14</v>
      </c>
      <c r="V2" s="8" t="s">
        <v>15</v>
      </c>
      <c r="W2" s="99" t="s">
        <v>16</v>
      </c>
      <c r="X2" s="159">
        <v>45778</v>
      </c>
      <c r="Y2" s="8" t="s">
        <v>17</v>
      </c>
      <c r="Z2" s="8" t="s">
        <v>18</v>
      </c>
      <c r="AA2" s="8" t="s">
        <v>19</v>
      </c>
      <c r="AB2" s="99" t="s">
        <v>20</v>
      </c>
      <c r="AC2" s="159">
        <v>45809</v>
      </c>
      <c r="AD2" s="8" t="s">
        <v>21</v>
      </c>
      <c r="AE2" s="8" t="s">
        <v>22</v>
      </c>
      <c r="AF2" s="8" t="s">
        <v>23</v>
      </c>
      <c r="AG2" s="8" t="s">
        <v>24</v>
      </c>
      <c r="AH2" s="99" t="s">
        <v>25</v>
      </c>
      <c r="AI2" s="252">
        <v>45839</v>
      </c>
      <c r="AJ2" s="99" t="s">
        <v>26</v>
      </c>
      <c r="AK2" s="99" t="s">
        <v>27</v>
      </c>
      <c r="AL2" s="99" t="s">
        <v>28</v>
      </c>
      <c r="AM2" s="99" t="s">
        <v>29</v>
      </c>
      <c r="AN2" s="252">
        <v>45870</v>
      </c>
      <c r="AO2" s="99" t="s">
        <v>30</v>
      </c>
      <c r="AP2" s="99" t="s">
        <v>31</v>
      </c>
      <c r="AQ2" s="99" t="s">
        <v>32</v>
      </c>
      <c r="AR2" s="99" t="s">
        <v>33</v>
      </c>
      <c r="AS2" s="252">
        <v>45901</v>
      </c>
      <c r="AT2" s="99" t="s">
        <v>34</v>
      </c>
      <c r="AU2" s="99" t="s">
        <v>35</v>
      </c>
      <c r="AV2" s="99" t="s">
        <v>36</v>
      </c>
      <c r="AW2" s="99" t="s">
        <v>37</v>
      </c>
      <c r="AX2" s="99" t="s">
        <v>38</v>
      </c>
      <c r="AY2" s="252">
        <v>45931</v>
      </c>
      <c r="AZ2" s="99" t="str">
        <f>'Company Scorecard'!BG1</f>
        <v>11/2-11/8</v>
      </c>
      <c r="BA2" s="99" t="str">
        <f>'Company Scorecard'!BH1</f>
        <v>11/9-11/15</v>
      </c>
      <c r="BB2" s="99" t="str">
        <f>'Company Scorecard'!BI1</f>
        <v>11/16-11/22</v>
      </c>
      <c r="BC2" s="99" t="str">
        <f>'Company Scorecard'!BJ1</f>
        <v>11/23-11/29</v>
      </c>
      <c r="BD2" s="252">
        <v>45962</v>
      </c>
      <c r="BE2" s="99" t="str">
        <f>'Company Scorecard'!BL1</f>
        <v>11/30-12/6</v>
      </c>
      <c r="BF2" s="99" t="str">
        <f>'Company Scorecard'!BM1</f>
        <v>12/7-12/13</v>
      </c>
      <c r="BG2" s="99" t="str">
        <f>'Company Scorecard'!BN1</f>
        <v>12/14-12/20</v>
      </c>
      <c r="BH2" s="99" t="str">
        <f>'Company Scorecard'!BO1</f>
        <v>12/21-12/27</v>
      </c>
      <c r="BI2" s="99" t="str">
        <f>'Company Scorecard'!BP1</f>
        <v>12/28-1/3</v>
      </c>
      <c r="BJ2" s="252">
        <f>'Company Scorecard'!BQ1</f>
        <v>45992</v>
      </c>
      <c r="BK2" s="99" t="str">
        <f>'Company Scorecard'!BR1</f>
        <v>1/4-1/10</v>
      </c>
      <c r="BL2" s="99" t="str">
        <f>'Company Scorecard'!BS1</f>
        <v>1/11-1/17</v>
      </c>
      <c r="BM2" s="99" t="str">
        <f>'Company Scorecard'!BT1</f>
        <v>1/18-1/24</v>
      </c>
      <c r="BN2" s="99" t="str">
        <f>'Company Scorecard'!BU1</f>
        <v>1/25-1/31</v>
      </c>
      <c r="BO2" s="252">
        <f>'Company Scorecard'!BV1</f>
        <v>46023</v>
      </c>
      <c r="BP2" s="99" t="str">
        <f>'Company Scorecard'!BW1</f>
        <v>2/1-2/7</v>
      </c>
      <c r="BQ2" s="99" t="str">
        <f>'Company Scorecard'!BX1</f>
        <v>2/8-2/14</v>
      </c>
      <c r="BR2" s="99" t="str">
        <f>'Company Scorecard'!BY1</f>
        <v>2/15-2/21</v>
      </c>
      <c r="BS2" s="99" t="str">
        <f>'Company Scorecard'!BZ1</f>
        <v>2/22-2/28</v>
      </c>
      <c r="BT2" s="252">
        <f>'Company Scorecard'!CA1</f>
        <v>46054</v>
      </c>
      <c r="BU2" s="99" t="str">
        <f>'Company Scorecard'!CB1</f>
        <v>3/1-3/7</v>
      </c>
      <c r="BV2" s="99" t="str">
        <f>'Company Scorecard'!CC1</f>
        <v>3/8-3/14</v>
      </c>
      <c r="BW2" s="99" t="str">
        <f>'Company Scorecard'!CD1</f>
        <v>3/15-3/21</v>
      </c>
      <c r="BX2" s="99" t="str">
        <f>'Company Scorecard'!CE1</f>
        <v>3/22-3/28</v>
      </c>
      <c r="BY2" s="252">
        <f>'Company Scorecard'!CF1</f>
        <v>46082</v>
      </c>
      <c r="BZ2" s="99" t="str">
        <f>'Company Scorecard'!CG1</f>
        <v>3/29-4/4</v>
      </c>
      <c r="CA2" s="99" t="str">
        <f>'Company Scorecard'!CH1</f>
        <v>4/5-4/11</v>
      </c>
      <c r="CB2" s="99" t="str">
        <f>'Company Scorecard'!CI1</f>
        <v>4/12-4/18</v>
      </c>
      <c r="CC2" s="99" t="str">
        <f>'Company Scorecard'!CJ1</f>
        <v>4/19-4/25</v>
      </c>
      <c r="CD2" s="99" t="str">
        <f>'Company Scorecard'!CK1</f>
        <v>4/26-5/2</v>
      </c>
      <c r="CE2" s="252">
        <f>'Company Scorecard'!CL1</f>
        <v>46113</v>
      </c>
    </row>
    <row r="3" spans="1:83" s="11" customFormat="1">
      <c r="A3" s="50" t="s">
        <v>240</v>
      </c>
      <c r="B3" s="54" t="s">
        <v>2</v>
      </c>
      <c r="H3" s="153"/>
      <c r="M3" s="150"/>
      <c r="S3" s="153"/>
      <c r="X3" s="153"/>
      <c r="AC3" s="153"/>
      <c r="AI3" s="153"/>
      <c r="AN3" s="153"/>
      <c r="AS3" s="153"/>
      <c r="AY3" s="153"/>
      <c r="BD3" s="153"/>
      <c r="BJ3" s="153"/>
      <c r="BO3" s="341"/>
      <c r="BP3" s="341"/>
      <c r="BQ3" s="341"/>
      <c r="BR3" s="341"/>
      <c r="BS3" s="341"/>
      <c r="BT3" s="341"/>
      <c r="BU3" s="153"/>
      <c r="BV3" s="153"/>
      <c r="BW3" s="153"/>
      <c r="BX3" s="153"/>
      <c r="BY3" s="341"/>
      <c r="BZ3" s="153"/>
      <c r="CA3" s="153"/>
      <c r="CB3" s="153"/>
      <c r="CC3" s="153"/>
      <c r="CD3" s="153"/>
      <c r="CE3" s="341"/>
    </row>
    <row r="4" spans="1:83" s="125" customFormat="1">
      <c r="A4" s="123"/>
      <c r="B4" s="124" t="s">
        <v>241</v>
      </c>
      <c r="C4" s="125" t="s">
        <v>76</v>
      </c>
      <c r="D4" s="125">
        <f>'Company Scorecard'!K10</f>
        <v>78</v>
      </c>
      <c r="E4" s="125">
        <f>'Company Scorecard'!L10</f>
        <v>80</v>
      </c>
      <c r="F4" s="125">
        <f>'Company Scorecard'!M10</f>
        <v>81</v>
      </c>
      <c r="G4" s="125">
        <f>'Company Scorecard'!N10</f>
        <v>82</v>
      </c>
      <c r="H4" s="151">
        <f>'Company Scorecard'!O10</f>
        <v>79.099999999999994</v>
      </c>
      <c r="I4" s="125">
        <f>'Company Scorecard'!P10</f>
        <v>82</v>
      </c>
      <c r="J4" s="125">
        <f>'Company Scorecard'!Q10</f>
        <v>86</v>
      </c>
      <c r="K4" s="125">
        <f>'Company Scorecard'!R10</f>
        <v>88</v>
      </c>
      <c r="L4" s="125">
        <f>'Company Scorecard'!S10</f>
        <v>88</v>
      </c>
      <c r="M4" s="151">
        <f>'Company Scorecard'!T10</f>
        <v>85</v>
      </c>
      <c r="N4" s="125">
        <f>'Company Scorecard'!U10</f>
        <v>89</v>
      </c>
      <c r="O4" s="125">
        <f>'Company Scorecard'!V10</f>
        <v>89</v>
      </c>
      <c r="P4" s="125">
        <f>'Company Scorecard'!W10</f>
        <v>91</v>
      </c>
      <c r="Q4" s="125">
        <f>'Company Scorecard'!X10</f>
        <v>92</v>
      </c>
      <c r="R4" s="125">
        <f>'Company Scorecard'!Y10</f>
        <v>88</v>
      </c>
      <c r="S4" s="151">
        <f>'Company Scorecard'!Z10</f>
        <v>89.2</v>
      </c>
      <c r="T4" s="125">
        <f>'Company Scorecard'!AA10</f>
        <v>88</v>
      </c>
      <c r="U4" s="125">
        <f>'Company Scorecard'!AB10</f>
        <v>93</v>
      </c>
      <c r="V4" s="125">
        <f>'Company Scorecard'!AC10</f>
        <v>92</v>
      </c>
      <c r="W4" s="125">
        <f>'Company Scorecard'!AD10</f>
        <v>94</v>
      </c>
      <c r="X4" s="151">
        <f>'Company Scorecard'!AE10</f>
        <v>90.9</v>
      </c>
      <c r="Y4" s="125">
        <f>'Company Scorecard'!AF10</f>
        <v>93</v>
      </c>
      <c r="Z4" s="125">
        <f>'Company Scorecard'!AG10</f>
        <v>95</v>
      </c>
      <c r="AA4" s="125">
        <f>'Company Scorecard'!AH10</f>
        <v>98</v>
      </c>
      <c r="AB4" s="125">
        <f>'Company Scorecard'!AI10</f>
        <v>98</v>
      </c>
      <c r="AC4" s="151">
        <f>'Company Scorecard'!AJ10</f>
        <v>98.2</v>
      </c>
      <c r="AD4" s="125">
        <f>'Company Scorecard'!AK10</f>
        <v>99</v>
      </c>
      <c r="AE4" s="125">
        <f>'Company Scorecard'!AL10</f>
        <v>94</v>
      </c>
      <c r="AF4" s="125">
        <f>'Company Scorecard'!AM10</f>
        <v>96</v>
      </c>
      <c r="AG4" s="125">
        <f>'Company Scorecard'!AN10</f>
        <v>100</v>
      </c>
      <c r="AH4" s="125">
        <f>'Company Scorecard'!AO10</f>
        <v>101</v>
      </c>
      <c r="AI4" s="151">
        <f>'Company Scorecard'!AP10</f>
        <v>99.8</v>
      </c>
      <c r="AJ4" s="125">
        <f>'Company Scorecard'!AQ10</f>
        <v>102</v>
      </c>
      <c r="AK4" s="125">
        <f>'Company Scorecard'!AR10</f>
        <v>100</v>
      </c>
      <c r="AL4" s="125">
        <f>'Company Scorecard'!AS10</f>
        <v>102</v>
      </c>
      <c r="AM4" s="125">
        <f>'Company Scorecard'!AT10</f>
        <v>106</v>
      </c>
      <c r="AN4" s="151">
        <f>'Company Scorecard'!AU10</f>
        <v>102.3</v>
      </c>
      <c r="AO4" s="125">
        <f>'Company Scorecard'!AV10</f>
        <v>108</v>
      </c>
      <c r="AP4" s="125">
        <f>'Company Scorecard'!AW10</f>
        <v>111</v>
      </c>
      <c r="AQ4" s="125">
        <f>'Company Scorecard'!AX10</f>
        <v>112</v>
      </c>
      <c r="AR4" s="125">
        <f>'Company Scorecard'!AY10</f>
        <v>111</v>
      </c>
      <c r="AS4" s="151">
        <f>'Company Scorecard'!AZ10</f>
        <v>108.6</v>
      </c>
      <c r="AT4" s="125">
        <f>'Company Scorecard'!BA10</f>
        <v>108</v>
      </c>
      <c r="AU4" s="125">
        <f>'Company Scorecard'!BB10</f>
        <v>110</v>
      </c>
      <c r="AV4" s="125">
        <f>'Company Scorecard'!BC10</f>
        <v>114</v>
      </c>
      <c r="AW4" s="125">
        <f>'Company Scorecard'!BD10</f>
        <v>110</v>
      </c>
      <c r="AX4" s="125">
        <f>'Company Scorecard'!BE10</f>
        <v>113</v>
      </c>
      <c r="AY4" s="151">
        <f>'Company Scorecard'!BF10</f>
        <v>110</v>
      </c>
      <c r="AZ4" s="125">
        <f>'Company Scorecard'!BG10</f>
        <v>110</v>
      </c>
      <c r="BA4" s="125">
        <f>'Company Scorecard'!BH10</f>
        <v>112</v>
      </c>
      <c r="BB4" s="125">
        <f>'Company Scorecard'!BI10</f>
        <v>112</v>
      </c>
      <c r="BC4" s="125">
        <f>'Company Scorecard'!BJ10</f>
        <v>110</v>
      </c>
      <c r="BD4" s="151">
        <f>'Company Scorecard'!BK10</f>
        <v>109.8</v>
      </c>
      <c r="BE4" s="125">
        <f>'Company Scorecard'!BL10</f>
        <v>111</v>
      </c>
      <c r="BF4" s="125">
        <f>'Company Scorecard'!BM10</f>
        <v>114</v>
      </c>
      <c r="BG4" s="125">
        <f>'Company Scorecard'!BN10</f>
        <v>117</v>
      </c>
      <c r="BH4" s="125">
        <f>'Company Scorecard'!BO10</f>
        <v>117</v>
      </c>
      <c r="BI4" s="125">
        <f>'Company Scorecard'!BP10</f>
        <v>118</v>
      </c>
      <c r="BJ4" s="151">
        <f>'Company Scorecard'!BQ10</f>
        <v>114.7</v>
      </c>
      <c r="BK4" s="125">
        <f>'Company Scorecard'!BR10</f>
        <v>117</v>
      </c>
      <c r="BL4" s="125">
        <f>'Company Scorecard'!BS10</f>
        <v>117</v>
      </c>
      <c r="BM4" s="125">
        <f>'Company Scorecard'!BT10</f>
        <v>117</v>
      </c>
      <c r="BN4" s="125">
        <f>'Company Scorecard'!BU10</f>
        <v>115</v>
      </c>
      <c r="BO4" s="342">
        <f>'Company Scorecard'!BV10</f>
        <v>115.4</v>
      </c>
      <c r="BP4" s="342">
        <f>'Company Scorecard'!BW10</f>
        <v>116</v>
      </c>
      <c r="BQ4" s="342">
        <f>'Company Scorecard'!BX10</f>
        <v>121</v>
      </c>
      <c r="BR4" s="342">
        <f>'Company Scorecard'!BY10</f>
        <v>122</v>
      </c>
      <c r="BS4" s="342">
        <f>'Company Scorecard'!BZ10</f>
        <v>123</v>
      </c>
      <c r="BT4" s="342">
        <f>'Company Scorecard'!CA10</f>
        <v>119.9</v>
      </c>
      <c r="BU4" s="151">
        <f>'Company Scorecard'!CB10</f>
        <v>128</v>
      </c>
      <c r="BV4" s="151">
        <f>'Company Scorecard'!CC10</f>
        <v>128</v>
      </c>
      <c r="BW4" s="151">
        <f>'Company Scorecard'!CD10</f>
        <v>125</v>
      </c>
      <c r="BX4" s="151">
        <f>'Company Scorecard'!CE10</f>
        <v>124</v>
      </c>
      <c r="BY4" s="342">
        <f>'Company Scorecard'!CF10</f>
        <v>125.3</v>
      </c>
      <c r="BZ4" s="151">
        <f>'Company Scorecard'!CG10</f>
        <v>125</v>
      </c>
      <c r="CA4" s="151">
        <f>'Company Scorecard'!CH10</f>
        <v>125</v>
      </c>
      <c r="CB4" s="151">
        <f>'Company Scorecard'!CI10</f>
        <v>125</v>
      </c>
      <c r="CC4" s="151">
        <f>'Company Scorecard'!CJ10</f>
        <v>120</v>
      </c>
      <c r="CD4" s="151">
        <f>'Company Scorecard'!CK10</f>
        <v>120</v>
      </c>
      <c r="CE4" s="342">
        <f>'Company Scorecard'!CL10</f>
        <v>123</v>
      </c>
    </row>
    <row r="5" spans="1:83" s="125" customFormat="1">
      <c r="A5" s="123"/>
      <c r="B5" s="124" t="s">
        <v>241</v>
      </c>
      <c r="C5" s="125" t="s">
        <v>77</v>
      </c>
      <c r="D5" s="125">
        <f>'Company Scorecard'!K11</f>
        <v>36</v>
      </c>
      <c r="E5" s="125">
        <f>'Company Scorecard'!L11</f>
        <v>36</v>
      </c>
      <c r="F5" s="125">
        <f>'Company Scorecard'!M11</f>
        <v>38</v>
      </c>
      <c r="G5" s="125">
        <f>'Company Scorecard'!N11</f>
        <v>36.6</v>
      </c>
      <c r="H5" s="151">
        <f>'Company Scorecard'!O11</f>
        <v>36.6</v>
      </c>
      <c r="I5" s="125">
        <f>'Company Scorecard'!P11</f>
        <v>36.200000000000003</v>
      </c>
      <c r="J5" s="125">
        <f>'Company Scorecard'!Q11</f>
        <v>34</v>
      </c>
      <c r="K5" s="125">
        <f>'Company Scorecard'!R11</f>
        <v>34</v>
      </c>
      <c r="L5" s="125">
        <f>'Company Scorecard'!S11</f>
        <v>33</v>
      </c>
      <c r="M5" s="151">
        <f>'Company Scorecard'!T11</f>
        <v>35.4</v>
      </c>
      <c r="N5" s="125">
        <f>'Company Scorecard'!U11</f>
        <v>32</v>
      </c>
      <c r="O5" s="125">
        <f>'Company Scorecard'!V11</f>
        <v>32</v>
      </c>
      <c r="P5" s="125">
        <v>33</v>
      </c>
      <c r="Q5" s="125">
        <f>'Company Scorecard'!X11</f>
        <v>33</v>
      </c>
      <c r="R5" s="125">
        <f>'Company Scorecard'!Y11</f>
        <v>33</v>
      </c>
      <c r="S5" s="151">
        <f>'Company Scorecard'!Z11</f>
        <v>33.299999999999997</v>
      </c>
      <c r="T5" s="125">
        <f>'Company Scorecard'!AA11</f>
        <v>31</v>
      </c>
      <c r="U5" s="125">
        <f>'Company Scorecard'!AB11</f>
        <v>31</v>
      </c>
      <c r="V5" s="125">
        <f>'Company Scorecard'!AC11</f>
        <v>33</v>
      </c>
      <c r="W5" s="125">
        <f>'Company Scorecard'!AD11</f>
        <v>35</v>
      </c>
      <c r="X5" s="151">
        <f>'Company Scorecard'!AE11</f>
        <v>33.799999999999997</v>
      </c>
      <c r="Y5" s="125">
        <f>'Company Scorecard'!AF11</f>
        <v>35</v>
      </c>
      <c r="Z5" s="125">
        <f>'Company Scorecard'!AG11</f>
        <v>37</v>
      </c>
      <c r="AA5" s="125">
        <f>'Company Scorecard'!AH11</f>
        <v>37</v>
      </c>
      <c r="AB5" s="125">
        <f>'Company Scorecard'!AI11</f>
        <v>38</v>
      </c>
      <c r="AC5" s="151">
        <f>'Company Scorecard'!AJ11</f>
        <v>37.700000000000003</v>
      </c>
      <c r="AD5" s="125">
        <f>'Company Scorecard'!AK11</f>
        <v>37</v>
      </c>
      <c r="AE5" s="125">
        <f>'Company Scorecard'!AL11</f>
        <v>39</v>
      </c>
      <c r="AF5" s="125">
        <f>'Company Scorecard'!AM11</f>
        <v>39</v>
      </c>
      <c r="AG5" s="125">
        <f>'Company Scorecard'!AN11</f>
        <v>39</v>
      </c>
      <c r="AH5" s="125">
        <f>'Company Scorecard'!AO11</f>
        <v>39</v>
      </c>
      <c r="AI5" s="151">
        <f>'Company Scorecard'!AP11</f>
        <v>39.9</v>
      </c>
      <c r="AJ5" s="125">
        <f>'Company Scorecard'!AQ11</f>
        <v>42</v>
      </c>
      <c r="AK5" s="125">
        <f>'Company Scorecard'!AR11</f>
        <v>45</v>
      </c>
      <c r="AL5" s="125">
        <f>'Company Scorecard'!AS11</f>
        <v>48</v>
      </c>
      <c r="AM5" s="125">
        <f>'Company Scorecard'!AT11</f>
        <v>47</v>
      </c>
      <c r="AN5" s="151">
        <f>'Company Scorecard'!AU11</f>
        <v>45</v>
      </c>
      <c r="AO5" s="125">
        <f>'Company Scorecard'!AV11</f>
        <v>46</v>
      </c>
      <c r="AP5" s="125">
        <f>'Company Scorecard'!AW11</f>
        <v>46</v>
      </c>
      <c r="AQ5" s="125">
        <f>'Company Scorecard'!AX11</f>
        <v>48</v>
      </c>
      <c r="AR5" s="125">
        <f>'Company Scorecard'!AY11</f>
        <v>47</v>
      </c>
      <c r="AS5" s="151">
        <f>'Company Scorecard'!AZ11</f>
        <v>46.6</v>
      </c>
      <c r="AT5" s="125">
        <f>'Company Scorecard'!BA11</f>
        <v>46</v>
      </c>
      <c r="AU5" s="125">
        <f>'Company Scorecard'!BB11</f>
        <v>44</v>
      </c>
      <c r="AV5" s="125">
        <f>'Company Scorecard'!BC11</f>
        <v>45</v>
      </c>
      <c r="AW5" s="125">
        <f>'Company Scorecard'!BD11</f>
        <v>45</v>
      </c>
      <c r="AX5" s="125">
        <f>'Company Scorecard'!BE11</f>
        <v>45</v>
      </c>
      <c r="AY5" s="151">
        <f>'Company Scorecard'!BF11</f>
        <v>44.7</v>
      </c>
      <c r="AZ5" s="125">
        <f>'Company Scorecard'!BG11</f>
        <v>46</v>
      </c>
      <c r="BA5" s="125">
        <f>'Company Scorecard'!BH11</f>
        <v>44</v>
      </c>
      <c r="BB5" s="125">
        <f>'Company Scorecard'!BI11</f>
        <v>43</v>
      </c>
      <c r="BC5" s="125">
        <f>'Company Scorecard'!BJ11</f>
        <v>43</v>
      </c>
      <c r="BD5" s="151">
        <f>'Company Scorecard'!BK11</f>
        <v>43.7</v>
      </c>
      <c r="BE5" s="125">
        <f>'Company Scorecard'!BL11</f>
        <v>41</v>
      </c>
      <c r="BF5" s="125">
        <f>'Company Scorecard'!BM11</f>
        <v>43</v>
      </c>
      <c r="BG5" s="125">
        <f>'Company Scorecard'!BN11</f>
        <v>44</v>
      </c>
      <c r="BH5" s="125">
        <f>'Company Scorecard'!BO11</f>
        <v>44</v>
      </c>
      <c r="BI5" s="125">
        <f>'Company Scorecard'!BP11</f>
        <v>44</v>
      </c>
      <c r="BJ5" s="151">
        <f>'Company Scorecard'!BQ11</f>
        <v>43.2</v>
      </c>
      <c r="BK5" s="125">
        <f>'Company Scorecard'!BR11</f>
        <v>42</v>
      </c>
      <c r="BL5" s="125">
        <f>'Company Scorecard'!BS11</f>
        <v>40</v>
      </c>
      <c r="BM5" s="125">
        <f>'Company Scorecard'!BT11</f>
        <v>39</v>
      </c>
      <c r="BN5" s="125">
        <f>'Company Scorecard'!BU11</f>
        <v>38</v>
      </c>
      <c r="BO5" s="342">
        <f>'Company Scorecard'!BV11</f>
        <v>40</v>
      </c>
      <c r="BP5" s="342">
        <f>'Company Scorecard'!BW11</f>
        <v>39</v>
      </c>
      <c r="BQ5" s="342">
        <f>'Company Scorecard'!BX11</f>
        <v>42</v>
      </c>
      <c r="BR5" s="342">
        <f>'Company Scorecard'!BY11</f>
        <v>42</v>
      </c>
      <c r="BS5" s="342">
        <f>'Company Scorecard'!BZ11</f>
        <v>43</v>
      </c>
      <c r="BT5" s="342">
        <f>'Company Scorecard'!CA11</f>
        <v>41.3</v>
      </c>
      <c r="BU5" s="151">
        <f>'Company Scorecard'!CB11</f>
        <v>44</v>
      </c>
      <c r="BV5" s="151">
        <f>'Company Scorecard'!CC11</f>
        <v>44</v>
      </c>
      <c r="BW5" s="151">
        <f>'Company Scorecard'!CD11</f>
        <v>45</v>
      </c>
      <c r="BX5" s="151">
        <f>'Company Scorecard'!CE11</f>
        <v>46</v>
      </c>
      <c r="BY5" s="342">
        <f>'Company Scorecard'!CF11</f>
        <v>44.9</v>
      </c>
      <c r="BZ5" s="151">
        <f>'Company Scorecard'!CG11</f>
        <v>46</v>
      </c>
      <c r="CA5" s="151">
        <f>'Company Scorecard'!CH11</f>
        <v>46</v>
      </c>
      <c r="CB5" s="151">
        <f>'Company Scorecard'!CI11</f>
        <v>47</v>
      </c>
      <c r="CC5" s="151">
        <f>'Company Scorecard'!CJ11</f>
        <v>50</v>
      </c>
      <c r="CD5" s="151">
        <f>'Company Scorecard'!CK11</f>
        <v>52</v>
      </c>
      <c r="CE5" s="342">
        <f>'Company Scorecard'!CL11</f>
        <v>48</v>
      </c>
    </row>
    <row r="6" spans="1:83" s="125" customFormat="1">
      <c r="A6" s="123"/>
      <c r="B6" s="124" t="s">
        <v>241</v>
      </c>
      <c r="C6" s="125" t="s">
        <v>78</v>
      </c>
      <c r="D6" s="125">
        <f>'Company Scorecard'!K12</f>
        <v>24.5</v>
      </c>
      <c r="E6" s="125">
        <f>'Company Scorecard'!L12</f>
        <v>25</v>
      </c>
      <c r="F6" s="125">
        <f>'Company Scorecard'!M12</f>
        <v>24</v>
      </c>
      <c r="G6" s="125">
        <f>'Company Scorecard'!N12</f>
        <v>26</v>
      </c>
      <c r="H6" s="151">
        <f>'Company Scorecard'!O12</f>
        <v>24.5</v>
      </c>
      <c r="I6" s="125">
        <f>'Company Scorecard'!P12</f>
        <v>23.8</v>
      </c>
      <c r="J6" s="125">
        <f>'Company Scorecard'!Q12</f>
        <v>25</v>
      </c>
      <c r="K6" s="125">
        <f>'Company Scorecard'!R12</f>
        <v>26</v>
      </c>
      <c r="L6" s="125">
        <f>'Company Scorecard'!S12</f>
        <v>27</v>
      </c>
      <c r="M6" s="151">
        <f>'Company Scorecard'!T12</f>
        <v>24.8</v>
      </c>
      <c r="N6" s="125">
        <f>'Company Scorecard'!U12</f>
        <v>29</v>
      </c>
      <c r="O6" s="125">
        <v>28</v>
      </c>
      <c r="P6" s="125">
        <f>'Company Scorecard'!W12</f>
        <v>28</v>
      </c>
      <c r="Q6" s="125">
        <v>27</v>
      </c>
      <c r="R6" s="125">
        <v>27</v>
      </c>
      <c r="S6" s="151">
        <f>'Company Scorecard'!Z12</f>
        <v>28</v>
      </c>
      <c r="T6" s="125">
        <v>27</v>
      </c>
      <c r="U6" s="125">
        <v>27</v>
      </c>
      <c r="V6" s="125">
        <v>27</v>
      </c>
      <c r="W6" s="125">
        <v>27</v>
      </c>
      <c r="X6" s="151">
        <f>'Company Scorecard'!AE12</f>
        <v>30.900000000000002</v>
      </c>
      <c r="Y6" s="125">
        <f>'Company Scorecard'!AF12</f>
        <v>31</v>
      </c>
      <c r="Z6" s="125">
        <f>'Company Scorecard'!AG12</f>
        <v>32</v>
      </c>
      <c r="AA6" s="125">
        <f>'Company Scorecard'!AH12</f>
        <v>35</v>
      </c>
      <c r="AB6" s="125">
        <f>'Company Scorecard'!AI12</f>
        <v>34</v>
      </c>
      <c r="AC6" s="151">
        <f>'Company Scorecard'!AJ12</f>
        <v>35.9</v>
      </c>
      <c r="AD6" s="125">
        <f>'Company Scorecard'!AK12</f>
        <v>34</v>
      </c>
      <c r="AE6" s="125">
        <f>'Company Scorecard'!AL12</f>
        <v>33</v>
      </c>
      <c r="AF6" s="125">
        <f>'Company Scorecard'!AM12</f>
        <v>36</v>
      </c>
      <c r="AG6" s="125">
        <f>'Company Scorecard'!AN12</f>
        <v>37</v>
      </c>
      <c r="AH6" s="125">
        <f>'Company Scorecard'!AO12</f>
        <v>39</v>
      </c>
      <c r="AI6" s="151">
        <f>'Company Scorecard'!AP12</f>
        <v>37.5</v>
      </c>
      <c r="AJ6" s="125">
        <f>'Company Scorecard'!AQ12</f>
        <v>38</v>
      </c>
      <c r="AK6" s="125">
        <f>'Company Scorecard'!AR12</f>
        <v>37</v>
      </c>
      <c r="AL6" s="125">
        <f>'Company Scorecard'!AS12</f>
        <v>37</v>
      </c>
      <c r="AM6" s="125">
        <f>'Company Scorecard'!AT12</f>
        <v>37</v>
      </c>
      <c r="AN6" s="151">
        <f>'Company Scorecard'!AU12</f>
        <v>37</v>
      </c>
      <c r="AO6" s="125">
        <f>'Company Scorecard'!AV12</f>
        <v>35</v>
      </c>
      <c r="AP6" s="125">
        <f>'Company Scorecard'!AW12</f>
        <v>32</v>
      </c>
      <c r="AQ6" s="125">
        <f>'Company Scorecard'!AX12</f>
        <v>32</v>
      </c>
      <c r="AR6" s="125">
        <f>'Company Scorecard'!AY12</f>
        <v>31</v>
      </c>
      <c r="AS6" s="151">
        <f>'Company Scorecard'!AZ12</f>
        <v>30.9</v>
      </c>
      <c r="AT6" s="125">
        <f>'Company Scorecard'!BA12</f>
        <v>27</v>
      </c>
      <c r="AU6" s="125">
        <f>'Company Scorecard'!BB12</f>
        <v>26</v>
      </c>
      <c r="AV6" s="125">
        <f>'Company Scorecard'!BC12</f>
        <v>26</v>
      </c>
      <c r="AW6" s="125">
        <f>'Company Scorecard'!BD12</f>
        <v>26</v>
      </c>
      <c r="AX6" s="125">
        <f>'Company Scorecard'!BE12</f>
        <v>25</v>
      </c>
      <c r="AY6" s="151">
        <f>'Company Scorecard'!BF12</f>
        <v>24.9</v>
      </c>
      <c r="AZ6" s="125">
        <f>'Company Scorecard'!BG12</f>
        <v>25</v>
      </c>
      <c r="BA6" s="125">
        <f>'Company Scorecard'!BH12</f>
        <v>24</v>
      </c>
      <c r="BB6" s="125">
        <f>'Company Scorecard'!BI12</f>
        <v>24</v>
      </c>
      <c r="BC6" s="125">
        <f>'Company Scorecard'!BJ12</f>
        <v>25</v>
      </c>
      <c r="BD6" s="151">
        <f>'Company Scorecard'!BK12</f>
        <v>23.6</v>
      </c>
      <c r="BE6" s="125">
        <f>'Company Scorecard'!BL12</f>
        <v>26</v>
      </c>
      <c r="BF6" s="125">
        <f>'Company Scorecard'!BM12</f>
        <v>26</v>
      </c>
      <c r="BG6" s="125">
        <f>'Company Scorecard'!BN12</f>
        <v>25</v>
      </c>
      <c r="BH6" s="125">
        <f>'Company Scorecard'!BO12</f>
        <v>24</v>
      </c>
      <c r="BI6" s="125">
        <f>'Company Scorecard'!BP12</f>
        <v>25</v>
      </c>
      <c r="BJ6" s="151">
        <f>'Company Scorecard'!BQ12</f>
        <v>23.9</v>
      </c>
      <c r="BK6" s="125">
        <f>'Company Scorecard'!BR12</f>
        <v>25</v>
      </c>
      <c r="BL6" s="125">
        <f>'Company Scorecard'!BS12</f>
        <v>25</v>
      </c>
      <c r="BM6" s="125">
        <f>'Company Scorecard'!BT12</f>
        <v>24</v>
      </c>
      <c r="BN6" s="125">
        <f>'Company Scorecard'!BU12</f>
        <v>25</v>
      </c>
      <c r="BO6" s="342">
        <f>'Company Scorecard'!BV12</f>
        <v>24.4</v>
      </c>
      <c r="BP6" s="342">
        <f>'Company Scorecard'!BW12</f>
        <v>22</v>
      </c>
      <c r="BQ6" s="342">
        <f>'Company Scorecard'!BX12</f>
        <v>20</v>
      </c>
      <c r="BR6" s="342">
        <f>'Company Scorecard'!BY12</f>
        <v>18</v>
      </c>
      <c r="BS6" s="342">
        <f>'Company Scorecard'!BZ12</f>
        <v>18</v>
      </c>
      <c r="BT6" s="342">
        <f>'Company Scorecard'!CA12</f>
        <v>19.600000000000001</v>
      </c>
      <c r="BU6" s="151">
        <f>'Company Scorecard'!CB12</f>
        <v>17</v>
      </c>
      <c r="BV6" s="151">
        <f>'Company Scorecard'!CC12</f>
        <v>18</v>
      </c>
      <c r="BW6" s="151">
        <f>'Company Scorecard'!CD12</f>
        <v>18</v>
      </c>
      <c r="BX6" s="151">
        <f>'Company Scorecard'!CE12</f>
        <v>19</v>
      </c>
      <c r="BY6" s="342">
        <f>'Company Scorecard'!CF12</f>
        <v>18.100000000000001</v>
      </c>
      <c r="BZ6" s="151">
        <f>'Company Scorecard'!CG12</f>
        <v>19</v>
      </c>
      <c r="CA6" s="151">
        <f>'Company Scorecard'!CH12</f>
        <v>20</v>
      </c>
      <c r="CB6" s="151">
        <f>'Company Scorecard'!CI12</f>
        <v>18</v>
      </c>
      <c r="CC6" s="151">
        <f>'Company Scorecard'!CJ12</f>
        <v>18</v>
      </c>
      <c r="CD6" s="151">
        <f>'Company Scorecard'!CK12</f>
        <v>21</v>
      </c>
      <c r="CE6" s="342">
        <f>'Company Scorecard'!CL12</f>
        <v>19</v>
      </c>
    </row>
    <row r="7" spans="1:83" s="125" customFormat="1">
      <c r="A7" s="123"/>
      <c r="B7" s="124" t="s">
        <v>241</v>
      </c>
      <c r="C7" s="125" t="s">
        <v>89</v>
      </c>
      <c r="D7" s="125">
        <f>'Company Scorecard'!K13</f>
        <v>75</v>
      </c>
      <c r="E7" s="125">
        <f>'Company Scorecard'!L13</f>
        <v>74</v>
      </c>
      <c r="F7" s="125">
        <f>'Company Scorecard'!M13</f>
        <v>74</v>
      </c>
      <c r="G7" s="125">
        <f>'Company Scorecard'!N13</f>
        <v>74</v>
      </c>
      <c r="H7" s="151">
        <f>'Company Scorecard'!O13</f>
        <v>71.099999999999994</v>
      </c>
      <c r="I7" s="125">
        <f>'Company Scorecard'!P13</f>
        <v>81</v>
      </c>
      <c r="J7" s="125">
        <f>'Company Scorecard'!Q13</f>
        <v>86</v>
      </c>
      <c r="K7" s="125">
        <f>'Company Scorecard'!R13</f>
        <v>84</v>
      </c>
      <c r="L7" s="125">
        <f>'Company Scorecard'!S13</f>
        <v>83</v>
      </c>
      <c r="M7" s="151">
        <f>'Company Scorecard'!T13</f>
        <v>83</v>
      </c>
      <c r="N7" s="125">
        <v>85</v>
      </c>
      <c r="O7" s="125">
        <v>88</v>
      </c>
      <c r="P7" s="125">
        <v>89</v>
      </c>
      <c r="Q7" s="125">
        <v>92</v>
      </c>
      <c r="R7" s="125">
        <v>92</v>
      </c>
      <c r="S7" s="151">
        <f>'Company Scorecard'!Z13</f>
        <v>86.3</v>
      </c>
      <c r="T7" s="125">
        <v>92</v>
      </c>
      <c r="U7" s="125">
        <v>92</v>
      </c>
      <c r="V7" s="125">
        <v>92</v>
      </c>
      <c r="W7" s="125">
        <v>92</v>
      </c>
      <c r="X7" s="151">
        <f>'Company Scorecard'!AE13</f>
        <v>92.6</v>
      </c>
      <c r="Y7" s="125">
        <f>'Company Scorecard'!AF13</f>
        <v>100</v>
      </c>
      <c r="Z7" s="125">
        <f>'Company Scorecard'!AG13</f>
        <v>100</v>
      </c>
      <c r="AA7" s="125">
        <f>'Company Scorecard'!AH13</f>
        <v>98</v>
      </c>
      <c r="AB7" s="125">
        <f>'Company Scorecard'!AI13</f>
        <v>97</v>
      </c>
      <c r="AC7" s="151">
        <f>'Company Scorecard'!AJ13</f>
        <v>98.3</v>
      </c>
      <c r="AD7" s="125">
        <f>'Company Scorecard'!AK13</f>
        <v>95</v>
      </c>
      <c r="AE7" s="125">
        <f>'Company Scorecard'!AL13</f>
        <v>96</v>
      </c>
      <c r="AF7" s="125">
        <f>'Company Scorecard'!AM13</f>
        <v>98</v>
      </c>
      <c r="AG7" s="125">
        <f>'Company Scorecard'!AN13</f>
        <v>98</v>
      </c>
      <c r="AH7" s="125">
        <f>'Company Scorecard'!AO13</f>
        <v>103</v>
      </c>
      <c r="AI7" s="151">
        <f>'Company Scorecard'!AP13</f>
        <v>97.2</v>
      </c>
      <c r="AJ7" s="125">
        <f>'Company Scorecard'!AQ13</f>
        <v>101</v>
      </c>
      <c r="AK7" s="125">
        <f>'Company Scorecard'!AR13</f>
        <v>99</v>
      </c>
      <c r="AL7" s="125">
        <f>'Company Scorecard'!AS13</f>
        <v>97</v>
      </c>
      <c r="AM7" s="125">
        <f>'Company Scorecard'!AT13</f>
        <v>96</v>
      </c>
      <c r="AN7" s="151">
        <f>'Company Scorecard'!AU13</f>
        <v>98.600000000000009</v>
      </c>
      <c r="AO7" s="125">
        <f>'Company Scorecard'!AV13</f>
        <v>91</v>
      </c>
      <c r="AP7" s="125">
        <f>'Company Scorecard'!AW13</f>
        <v>91</v>
      </c>
      <c r="AQ7" s="125">
        <f>'Company Scorecard'!AX13</f>
        <v>91</v>
      </c>
      <c r="AR7" s="125">
        <f>'Company Scorecard'!AY13</f>
        <v>89</v>
      </c>
      <c r="AS7" s="151">
        <f>'Company Scorecard'!AZ13</f>
        <v>89.7</v>
      </c>
      <c r="AT7" s="125">
        <f>'Company Scorecard'!BA13</f>
        <v>86</v>
      </c>
      <c r="AU7" s="125">
        <f>'Company Scorecard'!BB13</f>
        <v>90</v>
      </c>
      <c r="AV7" s="125">
        <f>'Company Scorecard'!BC13</f>
        <v>92</v>
      </c>
      <c r="AW7" s="125">
        <f>'Company Scorecard'!BD13</f>
        <v>93</v>
      </c>
      <c r="AX7" s="125">
        <f>'Company Scorecard'!BE13</f>
        <v>95</v>
      </c>
      <c r="AY7" s="151">
        <f>'Company Scorecard'!BF13</f>
        <v>91</v>
      </c>
      <c r="AZ7" s="125">
        <f>'Company Scorecard'!BG13</f>
        <v>94</v>
      </c>
      <c r="BA7" s="125">
        <f>'Company Scorecard'!BH13</f>
        <v>92</v>
      </c>
      <c r="BB7" s="125">
        <f>'Company Scorecard'!BI13</f>
        <v>90</v>
      </c>
      <c r="BC7" s="125">
        <f>'Company Scorecard'!BJ13</f>
        <v>91</v>
      </c>
      <c r="BD7" s="151">
        <f>'Company Scorecard'!BK13</f>
        <v>91.9</v>
      </c>
      <c r="BE7" s="125">
        <f>'Company Scorecard'!BL13</f>
        <v>91</v>
      </c>
      <c r="BF7" s="125">
        <f>'Company Scorecard'!BM13</f>
        <v>90</v>
      </c>
      <c r="BG7" s="125">
        <f>'Company Scorecard'!BN13</f>
        <v>96</v>
      </c>
      <c r="BH7" s="125">
        <f>'Company Scorecard'!BO13</f>
        <v>96</v>
      </c>
      <c r="BI7" s="125">
        <f>'Company Scorecard'!BP13</f>
        <v>98</v>
      </c>
      <c r="BJ7" s="151">
        <f>'Company Scorecard'!BQ13</f>
        <v>94</v>
      </c>
      <c r="BK7" s="125">
        <f>'Company Scorecard'!BR13</f>
        <v>96</v>
      </c>
      <c r="BL7" s="125">
        <f>'Company Scorecard'!BS13</f>
        <v>95</v>
      </c>
      <c r="BM7" s="125">
        <f>'Company Scorecard'!BT13</f>
        <v>98</v>
      </c>
      <c r="BN7" s="125">
        <f>'Company Scorecard'!BU13</f>
        <v>99</v>
      </c>
      <c r="BO7" s="342">
        <f>'Company Scorecard'!BV13</f>
        <v>97</v>
      </c>
      <c r="BP7" s="342">
        <f>'Company Scorecard'!BW13</f>
        <v>100</v>
      </c>
      <c r="BQ7" s="342">
        <f>'Company Scorecard'!BX13</f>
        <v>99</v>
      </c>
      <c r="BR7" s="342">
        <f>'Company Scorecard'!BY13</f>
        <v>98</v>
      </c>
      <c r="BS7" s="342">
        <f>'Company Scorecard'!BZ13</f>
        <v>97</v>
      </c>
      <c r="BT7" s="342">
        <f>'Company Scorecard'!CA13</f>
        <v>98.5</v>
      </c>
      <c r="BU7" s="151">
        <f>'Company Scorecard'!CB13</f>
        <v>97</v>
      </c>
      <c r="BV7" s="151">
        <f>'Company Scorecard'!CC13</f>
        <v>92</v>
      </c>
      <c r="BW7" s="151">
        <f>'Company Scorecard'!CD13</f>
        <v>91</v>
      </c>
      <c r="BX7" s="151">
        <f>'Company Scorecard'!CE13</f>
        <v>91</v>
      </c>
      <c r="BY7" s="342">
        <f>'Company Scorecard'!CF13</f>
        <v>92.6</v>
      </c>
      <c r="BZ7" s="151">
        <f>'Company Scorecard'!CG13</f>
        <v>92</v>
      </c>
      <c r="CA7" s="151">
        <f>'Company Scorecard'!CH13</f>
        <v>86</v>
      </c>
      <c r="CB7" s="151">
        <f>'Company Scorecard'!CI13</f>
        <v>86</v>
      </c>
      <c r="CC7" s="151">
        <f>'Company Scorecard'!CJ13</f>
        <v>83</v>
      </c>
      <c r="CD7" s="151">
        <f>'Company Scorecard'!CK13</f>
        <v>82</v>
      </c>
      <c r="CE7" s="342">
        <f>'Company Scorecard'!CL13</f>
        <v>85.4</v>
      </c>
    </row>
    <row r="8" spans="1:83" s="127" customFormat="1">
      <c r="A8" s="126"/>
      <c r="B8" s="124" t="s">
        <v>241</v>
      </c>
      <c r="C8" s="127" t="s">
        <v>80</v>
      </c>
      <c r="D8" s="127">
        <f t="shared" ref="D8:S8" si="1">SUM(D4:D7)</f>
        <v>213.5</v>
      </c>
      <c r="E8" s="127">
        <f t="shared" si="1"/>
        <v>215</v>
      </c>
      <c r="F8" s="127">
        <f t="shared" si="1"/>
        <v>217</v>
      </c>
      <c r="G8" s="127">
        <f t="shared" si="1"/>
        <v>218.6</v>
      </c>
      <c r="H8" s="152">
        <f t="shared" si="1"/>
        <v>211.29999999999998</v>
      </c>
      <c r="I8" s="127">
        <f t="shared" si="1"/>
        <v>223</v>
      </c>
      <c r="J8" s="127">
        <f t="shared" si="1"/>
        <v>231</v>
      </c>
      <c r="K8" s="127">
        <f t="shared" si="1"/>
        <v>232</v>
      </c>
      <c r="L8" s="127">
        <f t="shared" si="1"/>
        <v>231</v>
      </c>
      <c r="M8" s="152">
        <f t="shared" si="1"/>
        <v>228.20000000000002</v>
      </c>
      <c r="N8" s="127">
        <f t="shared" si="1"/>
        <v>235</v>
      </c>
      <c r="O8" s="127">
        <f t="shared" si="1"/>
        <v>237</v>
      </c>
      <c r="P8" s="127">
        <f t="shared" si="1"/>
        <v>241</v>
      </c>
      <c r="Q8" s="127">
        <f t="shared" si="1"/>
        <v>244</v>
      </c>
      <c r="R8" s="127">
        <f t="shared" ref="R8:T8" si="2">SUM(R4:R7)</f>
        <v>240</v>
      </c>
      <c r="S8" s="152">
        <f t="shared" si="1"/>
        <v>236.8</v>
      </c>
      <c r="T8" s="127">
        <f t="shared" si="2"/>
        <v>238</v>
      </c>
      <c r="U8" s="127">
        <f t="shared" ref="U8:V8" si="3">SUM(U4:U7)</f>
        <v>243</v>
      </c>
      <c r="V8" s="127">
        <f t="shared" si="3"/>
        <v>244</v>
      </c>
      <c r="W8" s="127">
        <f t="shared" ref="W8:X8" si="4">SUM(W4:W7)</f>
        <v>248</v>
      </c>
      <c r="X8" s="152">
        <f t="shared" si="4"/>
        <v>248.2</v>
      </c>
      <c r="Y8" s="127">
        <f t="shared" ref="Y8:Z8" si="5">SUM(Y4:Y7)</f>
        <v>259</v>
      </c>
      <c r="Z8" s="127">
        <f t="shared" si="5"/>
        <v>264</v>
      </c>
      <c r="AA8" s="127">
        <f t="shared" ref="AA8:AE8" si="6">SUM(AA4:AA7)</f>
        <v>268</v>
      </c>
      <c r="AB8" s="127">
        <f t="shared" si="6"/>
        <v>267</v>
      </c>
      <c r="AC8" s="152">
        <f t="shared" si="6"/>
        <v>270.10000000000002</v>
      </c>
      <c r="AD8" s="127">
        <f t="shared" ref="AD8" si="7">SUM(AD4:AD7)</f>
        <v>265</v>
      </c>
      <c r="AE8" s="127">
        <f t="shared" si="6"/>
        <v>262</v>
      </c>
      <c r="AF8" s="127">
        <f t="shared" ref="AF8:AG8" si="8">SUM(AF4:AF7)</f>
        <v>269</v>
      </c>
      <c r="AG8" s="127">
        <f t="shared" si="8"/>
        <v>274</v>
      </c>
      <c r="AH8" s="127">
        <f>SUM(AH4:AH7)</f>
        <v>282</v>
      </c>
      <c r="AI8" s="152">
        <f t="shared" ref="AI8" si="9">SUM(AI4:AI7)</f>
        <v>274.39999999999998</v>
      </c>
      <c r="AJ8" s="127">
        <f>SUM(AJ4:AJ7)</f>
        <v>283</v>
      </c>
      <c r="AK8" s="127">
        <f>SUM(AK4:AK7)</f>
        <v>281</v>
      </c>
      <c r="AL8" s="127">
        <f>SUM(AL4:AL7)</f>
        <v>284</v>
      </c>
      <c r="AM8" s="127">
        <f>SUM(AM4:AM7)</f>
        <v>286</v>
      </c>
      <c r="AN8" s="152">
        <f t="shared" ref="AN8" si="10">SUM(AN4:AN7)</f>
        <v>282.90000000000003</v>
      </c>
      <c r="AO8" s="127">
        <f t="shared" ref="AO8:BP8" si="11">SUM(AO4:AO7)</f>
        <v>280</v>
      </c>
      <c r="AP8" s="127">
        <f t="shared" si="11"/>
        <v>280</v>
      </c>
      <c r="AQ8" s="127">
        <f t="shared" si="11"/>
        <v>283</v>
      </c>
      <c r="AR8" s="127">
        <f t="shared" si="11"/>
        <v>278</v>
      </c>
      <c r="AS8" s="152">
        <f t="shared" si="11"/>
        <v>275.8</v>
      </c>
      <c r="AT8" s="127">
        <f t="shared" si="11"/>
        <v>267</v>
      </c>
      <c r="AU8" s="127">
        <f t="shared" si="11"/>
        <v>270</v>
      </c>
      <c r="AV8" s="127">
        <f t="shared" si="11"/>
        <v>277</v>
      </c>
      <c r="AW8" s="127">
        <f t="shared" si="11"/>
        <v>274</v>
      </c>
      <c r="AX8" s="127">
        <f t="shared" si="11"/>
        <v>278</v>
      </c>
      <c r="AY8" s="152">
        <f t="shared" si="11"/>
        <v>270.60000000000002</v>
      </c>
      <c r="AZ8" s="127">
        <f t="shared" si="11"/>
        <v>275</v>
      </c>
      <c r="BA8" s="127">
        <f t="shared" si="11"/>
        <v>272</v>
      </c>
      <c r="BB8" s="127">
        <f t="shared" si="11"/>
        <v>269</v>
      </c>
      <c r="BC8" s="127">
        <f t="shared" si="11"/>
        <v>269</v>
      </c>
      <c r="BD8" s="152">
        <f t="shared" si="11"/>
        <v>269</v>
      </c>
      <c r="BE8" s="127">
        <f t="shared" si="11"/>
        <v>269</v>
      </c>
      <c r="BF8" s="127">
        <f t="shared" si="11"/>
        <v>273</v>
      </c>
      <c r="BG8" s="127">
        <f t="shared" si="11"/>
        <v>282</v>
      </c>
      <c r="BH8" s="127">
        <f t="shared" si="11"/>
        <v>281</v>
      </c>
      <c r="BI8" s="127">
        <f t="shared" si="11"/>
        <v>285</v>
      </c>
      <c r="BJ8" s="152">
        <f t="shared" si="11"/>
        <v>275.8</v>
      </c>
      <c r="BK8" s="127">
        <f t="shared" si="11"/>
        <v>280</v>
      </c>
      <c r="BL8" s="127">
        <f t="shared" si="11"/>
        <v>277</v>
      </c>
      <c r="BM8" s="127">
        <f t="shared" si="11"/>
        <v>278</v>
      </c>
      <c r="BN8" s="127">
        <f t="shared" si="11"/>
        <v>277</v>
      </c>
      <c r="BO8" s="343">
        <f t="shared" si="11"/>
        <v>276.8</v>
      </c>
      <c r="BP8" s="343">
        <f t="shared" si="11"/>
        <v>277</v>
      </c>
      <c r="BQ8" s="343">
        <f t="shared" ref="BQ8:BR8" si="12">SUM(BQ4:BQ7)</f>
        <v>282</v>
      </c>
      <c r="BR8" s="343">
        <f t="shared" si="12"/>
        <v>280</v>
      </c>
      <c r="BS8" s="343">
        <f t="shared" ref="BS8:BT8" si="13">SUM(BS4:BS7)</f>
        <v>281</v>
      </c>
      <c r="BT8" s="343">
        <f t="shared" si="13"/>
        <v>279.29999999999995</v>
      </c>
      <c r="BU8" s="152">
        <f t="shared" ref="BU8:BV8" si="14">SUM(BU4:BU7)</f>
        <v>286</v>
      </c>
      <c r="BV8" s="152">
        <f t="shared" si="14"/>
        <v>282</v>
      </c>
      <c r="BW8" s="152">
        <f t="shared" ref="BW8:BY8" si="15">SUM(BW4:BW7)</f>
        <v>279</v>
      </c>
      <c r="BX8" s="152">
        <f t="shared" si="15"/>
        <v>280</v>
      </c>
      <c r="BY8" s="343">
        <f t="shared" si="15"/>
        <v>280.89999999999998</v>
      </c>
      <c r="BZ8" s="152">
        <f t="shared" ref="BZ8:CA8" si="16">SUM(BZ4:BZ7)</f>
        <v>282</v>
      </c>
      <c r="CA8" s="152">
        <f t="shared" si="16"/>
        <v>277</v>
      </c>
      <c r="CB8" s="152">
        <f t="shared" ref="CB8:CC8" si="17">SUM(CB4:CB7)</f>
        <v>276</v>
      </c>
      <c r="CC8" s="152">
        <f t="shared" si="17"/>
        <v>271</v>
      </c>
      <c r="CD8" s="152">
        <f t="shared" ref="CD8:CE8" si="18">SUM(CD4:CD7)</f>
        <v>275</v>
      </c>
      <c r="CE8" s="343">
        <f t="shared" si="18"/>
        <v>275.39999999999998</v>
      </c>
    </row>
    <row r="9" spans="1:83" s="11" customFormat="1">
      <c r="A9" s="50" t="s">
        <v>242</v>
      </c>
      <c r="B9" s="54" t="s">
        <v>2</v>
      </c>
      <c r="H9" s="153"/>
      <c r="M9" s="153"/>
      <c r="S9" s="153"/>
      <c r="X9" s="153"/>
      <c r="AC9" s="153"/>
      <c r="AI9" s="153"/>
      <c r="AN9" s="153"/>
      <c r="AS9" s="153"/>
      <c r="AY9" s="153"/>
      <c r="BD9" s="153"/>
      <c r="BJ9" s="153"/>
      <c r="BO9" s="341"/>
      <c r="BP9" s="341"/>
      <c r="BQ9" s="341"/>
      <c r="BR9" s="341"/>
      <c r="BS9" s="341"/>
      <c r="BT9" s="341"/>
      <c r="BU9" s="153"/>
      <c r="BV9" s="153"/>
      <c r="BW9" s="153"/>
      <c r="BX9" s="153"/>
      <c r="BY9" s="341"/>
      <c r="BZ9" s="153"/>
      <c r="CA9" s="153"/>
      <c r="CB9" s="153"/>
      <c r="CC9" s="153"/>
      <c r="CD9" s="153"/>
      <c r="CE9" s="341"/>
    </row>
    <row r="10" spans="1:83">
      <c r="A10" s="51"/>
      <c r="B10" s="56">
        <v>35</v>
      </c>
      <c r="C10" t="s">
        <v>76</v>
      </c>
      <c r="D10">
        <f>'Company Scorecard'!K23</f>
        <v>0</v>
      </c>
      <c r="E10">
        <f>'Company Scorecard'!L23</f>
        <v>8</v>
      </c>
      <c r="F10">
        <f>'Company Scorecard'!M23</f>
        <v>7</v>
      </c>
      <c r="G10">
        <f>'Company Scorecard'!N23</f>
        <v>3</v>
      </c>
      <c r="H10" s="154">
        <f>'Company Scorecard'!O23</f>
        <v>18</v>
      </c>
      <c r="I10">
        <f>'Company Scorecard'!P23</f>
        <v>7</v>
      </c>
      <c r="J10">
        <f>'Company Scorecard'!Q23</f>
        <v>7</v>
      </c>
      <c r="K10">
        <f>'Company Scorecard'!R23</f>
        <v>4</v>
      </c>
      <c r="L10">
        <f>'Company Scorecard'!S23</f>
        <v>10</v>
      </c>
      <c r="M10" s="154">
        <f>'Company Scorecard'!T23</f>
        <v>30</v>
      </c>
      <c r="N10">
        <f>'Company Scorecard'!U23</f>
        <v>5</v>
      </c>
      <c r="O10">
        <f>'Company Scorecard'!V23</f>
        <v>5</v>
      </c>
      <c r="P10">
        <f>'Company Scorecard'!W23</f>
        <v>9</v>
      </c>
      <c r="Q10">
        <f>'Company Scorecard'!X23</f>
        <v>6</v>
      </c>
      <c r="R10">
        <f>'Company Scorecard'!Y23</f>
        <v>4</v>
      </c>
      <c r="S10" s="154">
        <f>'Company Scorecard'!Z23</f>
        <v>24</v>
      </c>
      <c r="T10">
        <f>'Company Scorecard'!AA23</f>
        <v>10</v>
      </c>
      <c r="U10">
        <f>'Company Scorecard'!AB23</f>
        <v>12</v>
      </c>
      <c r="V10">
        <f>'Company Scorecard'!AC23</f>
        <v>6</v>
      </c>
      <c r="W10">
        <f>'Company Scorecard'!AD23</f>
        <v>4</v>
      </c>
      <c r="X10" s="154">
        <f>'Company Scorecard'!AE23</f>
        <v>36</v>
      </c>
      <c r="Y10">
        <f>'Company Scorecard'!AF23</f>
        <v>6</v>
      </c>
      <c r="Z10">
        <f>'Company Scorecard'!AG23</f>
        <v>4</v>
      </c>
      <c r="AA10">
        <f>'Company Scorecard'!AH23</f>
        <v>8</v>
      </c>
      <c r="AB10">
        <f>'Company Scorecard'!AI23</f>
        <v>11</v>
      </c>
      <c r="AC10" s="154">
        <f>'Company Scorecard'!AJ23</f>
        <v>31</v>
      </c>
      <c r="AD10">
        <f>'Company Scorecard'!AK23</f>
        <v>8</v>
      </c>
      <c r="AE10">
        <f>'Company Scorecard'!AL23</f>
        <v>3</v>
      </c>
      <c r="AF10">
        <f>'Company Scorecard'!AM23</f>
        <v>8</v>
      </c>
      <c r="AG10">
        <f>'Company Scorecard'!AN23</f>
        <v>6</v>
      </c>
      <c r="AH10">
        <f>'Company Scorecard'!AO23</f>
        <v>5</v>
      </c>
      <c r="AI10" s="154">
        <f>'Company Scorecard'!AP23</f>
        <v>29</v>
      </c>
      <c r="AJ10">
        <f>'Company Scorecard'!AQ23</f>
        <v>7</v>
      </c>
      <c r="AK10">
        <f>'Company Scorecard'!AR23</f>
        <v>10</v>
      </c>
      <c r="AL10">
        <f>'Company Scorecard'!AS23</f>
        <v>6</v>
      </c>
      <c r="AM10">
        <f>'Company Scorecard'!AT23</f>
        <v>8</v>
      </c>
      <c r="AN10" s="154">
        <f>'Company Scorecard'!AU23</f>
        <v>32</v>
      </c>
      <c r="AO10">
        <f>'Company Scorecard'!AV23</f>
        <v>7</v>
      </c>
      <c r="AP10">
        <f>'Company Scorecard'!AW23</f>
        <v>8</v>
      </c>
      <c r="AQ10">
        <f>'Company Scorecard'!AX23</f>
        <v>5</v>
      </c>
      <c r="AR10">
        <f>'Company Scorecard'!AY23</f>
        <v>5</v>
      </c>
      <c r="AS10" s="154">
        <f>'Company Scorecard'!AZ23</f>
        <v>25</v>
      </c>
      <c r="AT10">
        <f>'Company Scorecard'!BA23</f>
        <v>6</v>
      </c>
      <c r="AU10">
        <f>'Company Scorecard'!BB23</f>
        <v>7</v>
      </c>
      <c r="AV10">
        <f>'Company Scorecard'!BC23</f>
        <v>6</v>
      </c>
      <c r="AW10">
        <f>'Company Scorecard'!BD23</f>
        <v>5</v>
      </c>
      <c r="AX10">
        <f>'Company Scorecard'!BE23</f>
        <v>7</v>
      </c>
      <c r="AY10" s="154">
        <f>'Company Scorecard'!BF23</f>
        <v>30</v>
      </c>
      <c r="AZ10">
        <f>'Company Scorecard'!BG23</f>
        <v>8</v>
      </c>
      <c r="BA10">
        <f>'Company Scorecard'!BH23</f>
        <v>8</v>
      </c>
      <c r="BB10">
        <f>'Company Scorecard'!BI23</f>
        <v>3</v>
      </c>
      <c r="BC10">
        <f>'Company Scorecard'!BJ23</f>
        <v>2</v>
      </c>
      <c r="BD10" s="154">
        <f>'Company Scorecard'!BK23</f>
        <v>21</v>
      </c>
      <c r="BE10">
        <f>'Company Scorecard'!BL23</f>
        <v>9</v>
      </c>
      <c r="BF10">
        <f>'Company Scorecard'!BM23</f>
        <v>6</v>
      </c>
      <c r="BG10">
        <f>'Company Scorecard'!BN23</f>
        <v>9</v>
      </c>
      <c r="BH10">
        <f>'Company Scorecard'!BO23</f>
        <v>5</v>
      </c>
      <c r="BI10">
        <f>'Company Scorecard'!BP23</f>
        <v>4</v>
      </c>
      <c r="BJ10" s="154">
        <f>'Company Scorecard'!BQ23</f>
        <v>31</v>
      </c>
      <c r="BK10">
        <f>'Company Scorecard'!BR23</f>
        <v>4</v>
      </c>
      <c r="BL10">
        <f>'Company Scorecard'!BS23</f>
        <v>4</v>
      </c>
      <c r="BM10">
        <f>'Company Scorecard'!BT23</f>
        <v>8</v>
      </c>
      <c r="BN10">
        <f>'Company Scorecard'!BU23</f>
        <v>2</v>
      </c>
      <c r="BO10" s="353">
        <f>'Company Scorecard'!BV23</f>
        <v>20</v>
      </c>
      <c r="BP10" s="353">
        <f>'Company Scorecard'!BW23</f>
        <v>10</v>
      </c>
      <c r="BQ10" s="353">
        <f>'Company Scorecard'!BX23</f>
        <v>10</v>
      </c>
      <c r="BR10" s="353">
        <f>'Company Scorecard'!BY23</f>
        <v>6</v>
      </c>
      <c r="BS10" s="353">
        <f>'Company Scorecard'!BZ23</f>
        <v>10</v>
      </c>
      <c r="BT10" s="353">
        <f>'Company Scorecard'!CA23</f>
        <v>36</v>
      </c>
      <c r="BU10" s="154">
        <f>'Company Scorecard'!CB23</f>
        <v>9</v>
      </c>
      <c r="BV10" s="154">
        <f>'Company Scorecard'!CC23</f>
        <v>4</v>
      </c>
      <c r="BW10" s="154">
        <f>'Company Scorecard'!CD23</f>
        <v>9</v>
      </c>
      <c r="BX10" s="154">
        <f>'Company Scorecard'!CE23</f>
        <v>5</v>
      </c>
      <c r="BY10" s="353">
        <f>'Company Scorecard'!CF23</f>
        <v>28</v>
      </c>
      <c r="BZ10" s="154">
        <f>'Company Scorecard'!CG23</f>
        <v>3</v>
      </c>
      <c r="CA10" s="154">
        <f>'Company Scorecard'!CH23</f>
        <v>4</v>
      </c>
      <c r="CB10" s="154">
        <f>'Company Scorecard'!CI23</f>
        <v>5</v>
      </c>
      <c r="CC10" s="154">
        <f>'Company Scorecard'!CJ23</f>
        <v>6</v>
      </c>
      <c r="CD10" s="154">
        <f>'Company Scorecard'!CK23</f>
        <v>4</v>
      </c>
      <c r="CE10" s="353">
        <f>'Company Scorecard'!CL23</f>
        <v>21</v>
      </c>
    </row>
    <row r="11" spans="1:83">
      <c r="A11" s="51"/>
      <c r="B11" s="56">
        <v>20</v>
      </c>
      <c r="C11" t="s">
        <v>77</v>
      </c>
      <c r="D11">
        <f>'Company Scorecard'!K24</f>
        <v>2</v>
      </c>
      <c r="E11">
        <f>'Company Scorecard'!L24</f>
        <v>1</v>
      </c>
      <c r="F11">
        <f>'Company Scorecard'!M24</f>
        <v>1</v>
      </c>
      <c r="G11">
        <f>'Company Scorecard'!N24</f>
        <v>0</v>
      </c>
      <c r="H11" s="154">
        <f>'Company Scorecard'!O24</f>
        <v>4</v>
      </c>
      <c r="I11">
        <f>'Company Scorecard'!P24</f>
        <v>0</v>
      </c>
      <c r="J11">
        <f>'Company Scorecard'!Q24</f>
        <v>2</v>
      </c>
      <c r="K11">
        <f>'Company Scorecard'!R24</f>
        <v>0</v>
      </c>
      <c r="L11">
        <f>'Company Scorecard'!S24</f>
        <v>2</v>
      </c>
      <c r="M11" s="154">
        <f>'Company Scorecard'!T24</f>
        <v>4</v>
      </c>
      <c r="N11">
        <f>'Company Scorecard'!U24</f>
        <v>0</v>
      </c>
      <c r="O11">
        <f>'Company Scorecard'!V24</f>
        <v>2</v>
      </c>
      <c r="P11">
        <f>'Company Scorecard'!W24</f>
        <v>1</v>
      </c>
      <c r="Q11">
        <f>'Company Scorecard'!X24</f>
        <v>1</v>
      </c>
      <c r="R11">
        <f>'Company Scorecard'!Y24</f>
        <v>1</v>
      </c>
      <c r="S11" s="154">
        <f>'Company Scorecard'!Z24</f>
        <v>5</v>
      </c>
      <c r="T11">
        <f>'Company Scorecard'!AA24</f>
        <v>1</v>
      </c>
      <c r="U11">
        <f>'Company Scorecard'!AB24</f>
        <v>2</v>
      </c>
      <c r="V11">
        <f>'Company Scorecard'!AC24</f>
        <v>3</v>
      </c>
      <c r="W11">
        <f>'Company Scorecard'!AD24</f>
        <v>0</v>
      </c>
      <c r="X11" s="154">
        <f>'Company Scorecard'!AE24</f>
        <v>6</v>
      </c>
      <c r="Y11">
        <f>'Company Scorecard'!AF24</f>
        <v>4</v>
      </c>
      <c r="Z11">
        <f>'Company Scorecard'!AG24</f>
        <v>2</v>
      </c>
      <c r="AA11">
        <f>'Company Scorecard'!AH24</f>
        <v>3</v>
      </c>
      <c r="AB11">
        <f>'Company Scorecard'!AI24</f>
        <v>2</v>
      </c>
      <c r="AC11" s="154">
        <f>'Company Scorecard'!AJ24</f>
        <v>11</v>
      </c>
      <c r="AD11">
        <f>'Company Scorecard'!AK24</f>
        <v>3</v>
      </c>
      <c r="AE11">
        <f>'Company Scorecard'!AL24</f>
        <v>2</v>
      </c>
      <c r="AF11">
        <f>'Company Scorecard'!AM24</f>
        <v>2</v>
      </c>
      <c r="AG11">
        <f>'Company Scorecard'!AN24</f>
        <v>2</v>
      </c>
      <c r="AH11">
        <f>'Company Scorecard'!AO24</f>
        <v>5</v>
      </c>
      <c r="AI11" s="154">
        <f>'Company Scorecard'!AP24</f>
        <v>13</v>
      </c>
      <c r="AJ11">
        <f>'Company Scorecard'!AQ24</f>
        <v>2</v>
      </c>
      <c r="AK11">
        <f>'Company Scorecard'!AR24</f>
        <v>4</v>
      </c>
      <c r="AL11">
        <f>'Company Scorecard'!AS24</f>
        <v>3</v>
      </c>
      <c r="AM11">
        <f>'Company Scorecard'!AT24</f>
        <v>1</v>
      </c>
      <c r="AN11" s="154">
        <f>'Company Scorecard'!AU24</f>
        <v>12</v>
      </c>
      <c r="AO11">
        <f>'Company Scorecard'!AV24</f>
        <v>1</v>
      </c>
      <c r="AP11">
        <f>'Company Scorecard'!AW24</f>
        <v>4</v>
      </c>
      <c r="AQ11">
        <f>'Company Scorecard'!AX24</f>
        <v>1</v>
      </c>
      <c r="AR11">
        <f>'Company Scorecard'!AY24</f>
        <v>2</v>
      </c>
      <c r="AS11" s="154">
        <f>'Company Scorecard'!AZ24</f>
        <v>8</v>
      </c>
      <c r="AT11">
        <f>'Company Scorecard'!BA24</f>
        <v>1</v>
      </c>
      <c r="AU11">
        <f>'Company Scorecard'!BB24</f>
        <v>1</v>
      </c>
      <c r="AV11">
        <f>'Company Scorecard'!BC24</f>
        <v>4</v>
      </c>
      <c r="AW11">
        <f>'Company Scorecard'!BD24</f>
        <v>1</v>
      </c>
      <c r="AX11">
        <f>'Company Scorecard'!BE24</f>
        <v>5</v>
      </c>
      <c r="AY11" s="154">
        <f>'Company Scorecard'!BF24</f>
        <v>11</v>
      </c>
      <c r="AZ11">
        <f>'Company Scorecard'!BG24</f>
        <v>2</v>
      </c>
      <c r="BA11">
        <f>'Company Scorecard'!BH24</f>
        <v>3</v>
      </c>
      <c r="BB11">
        <f>'Company Scorecard'!BI24</f>
        <v>1</v>
      </c>
      <c r="BC11">
        <f>'Company Scorecard'!BJ24</f>
        <v>1</v>
      </c>
      <c r="BD11" s="154">
        <f>'Company Scorecard'!BK24</f>
        <v>8</v>
      </c>
      <c r="BE11">
        <f>'Company Scorecard'!BL24</f>
        <v>2</v>
      </c>
      <c r="BF11">
        <f>'Company Scorecard'!BM24</f>
        <v>4</v>
      </c>
      <c r="BG11">
        <f>'Company Scorecard'!BN24</f>
        <v>1</v>
      </c>
      <c r="BH11">
        <f>'Company Scorecard'!BO24</f>
        <v>2</v>
      </c>
      <c r="BI11">
        <f>'Company Scorecard'!BP24</f>
        <v>1</v>
      </c>
      <c r="BJ11" s="154">
        <f>'Company Scorecard'!BQ24</f>
        <v>10</v>
      </c>
      <c r="BK11">
        <f>'Company Scorecard'!BR24</f>
        <v>1</v>
      </c>
      <c r="BL11">
        <f>'Company Scorecard'!BS24</f>
        <v>1</v>
      </c>
      <c r="BM11">
        <f>'Company Scorecard'!BT24</f>
        <v>2</v>
      </c>
      <c r="BN11">
        <f>'Company Scorecard'!BU24</f>
        <v>3</v>
      </c>
      <c r="BO11" s="353">
        <f>'Company Scorecard'!BV24</f>
        <v>8</v>
      </c>
      <c r="BP11" s="353">
        <f>'Company Scorecard'!BW24</f>
        <v>2</v>
      </c>
      <c r="BQ11" s="353">
        <f>'Company Scorecard'!BX24</f>
        <v>5</v>
      </c>
      <c r="BR11" s="353">
        <f>'Company Scorecard'!BY24</f>
        <v>2</v>
      </c>
      <c r="BS11" s="353">
        <f>'Company Scorecard'!BZ24</f>
        <v>5</v>
      </c>
      <c r="BT11" s="353">
        <f>'Company Scorecard'!CA24</f>
        <v>14</v>
      </c>
      <c r="BU11" s="154">
        <f>'Company Scorecard'!CB24</f>
        <v>1</v>
      </c>
      <c r="BV11" s="154">
        <f>'Company Scorecard'!CC24</f>
        <v>1</v>
      </c>
      <c r="BW11" s="154">
        <f>'Company Scorecard'!CD24</f>
        <v>1</v>
      </c>
      <c r="BX11" s="154">
        <f>'Company Scorecard'!CE24</f>
        <v>3</v>
      </c>
      <c r="BY11" s="353">
        <f>'Company Scorecard'!CF24</f>
        <v>6</v>
      </c>
      <c r="BZ11" s="154">
        <f>'Company Scorecard'!CG24</f>
        <v>0</v>
      </c>
      <c r="CA11" s="154">
        <f>'Company Scorecard'!CH24</f>
        <v>0</v>
      </c>
      <c r="CB11" s="154">
        <f>'Company Scorecard'!CI24</f>
        <v>5</v>
      </c>
      <c r="CC11" s="154">
        <f>'Company Scorecard'!CJ24</f>
        <v>6</v>
      </c>
      <c r="CD11" s="154">
        <f>'Company Scorecard'!CK24</f>
        <v>1</v>
      </c>
      <c r="CE11" s="353">
        <f>'Company Scorecard'!CL24</f>
        <v>11</v>
      </c>
    </row>
    <row r="12" spans="1:83">
      <c r="A12" s="51"/>
      <c r="B12" s="56">
        <v>15</v>
      </c>
      <c r="C12" t="s">
        <v>78</v>
      </c>
      <c r="D12">
        <f>'Company Scorecard'!K25</f>
        <v>3</v>
      </c>
      <c r="E12">
        <f>'Company Scorecard'!L25</f>
        <v>2</v>
      </c>
      <c r="F12">
        <f>'Company Scorecard'!M25</f>
        <v>0</v>
      </c>
      <c r="G12">
        <f>'Company Scorecard'!N25</f>
        <v>3</v>
      </c>
      <c r="H12" s="154">
        <f>'Company Scorecard'!O25</f>
        <v>8</v>
      </c>
      <c r="I12">
        <f>'Company Scorecard'!P25</f>
        <v>0</v>
      </c>
      <c r="J12">
        <f>'Company Scorecard'!Q25</f>
        <v>3</v>
      </c>
      <c r="K12">
        <f>'Company Scorecard'!R25</f>
        <v>1</v>
      </c>
      <c r="L12">
        <f>'Company Scorecard'!S25</f>
        <v>3</v>
      </c>
      <c r="M12" s="154">
        <f>'Company Scorecard'!T25</f>
        <v>8</v>
      </c>
      <c r="N12">
        <f>'Company Scorecard'!U25</f>
        <v>5</v>
      </c>
      <c r="O12">
        <f>'Company Scorecard'!V25</f>
        <v>2</v>
      </c>
      <c r="P12">
        <f>'Company Scorecard'!W25</f>
        <v>2</v>
      </c>
      <c r="Q12">
        <f>'Company Scorecard'!X25</f>
        <v>0</v>
      </c>
      <c r="R12">
        <f>'Company Scorecard'!Y25</f>
        <v>0</v>
      </c>
      <c r="S12" s="154">
        <f>'Company Scorecard'!Z25</f>
        <v>8</v>
      </c>
      <c r="T12">
        <f>'Company Scorecard'!AA25</f>
        <v>0.01</v>
      </c>
      <c r="U12">
        <f>'Company Scorecard'!AB25</f>
        <v>3</v>
      </c>
      <c r="V12">
        <f>'Company Scorecard'!AC25</f>
        <v>2</v>
      </c>
      <c r="W12">
        <f>'Company Scorecard'!AD25</f>
        <v>0</v>
      </c>
      <c r="X12" s="154">
        <f>'Company Scorecard'!AE25</f>
        <v>5</v>
      </c>
      <c r="Y12">
        <f>'Company Scorecard'!AF25</f>
        <v>1</v>
      </c>
      <c r="Z12">
        <f>'Company Scorecard'!AG25</f>
        <v>3</v>
      </c>
      <c r="AA12">
        <f>'Company Scorecard'!AH25</f>
        <v>4</v>
      </c>
      <c r="AB12">
        <f>'Company Scorecard'!AI25</f>
        <v>1</v>
      </c>
      <c r="AC12" s="154">
        <f>'Company Scorecard'!AJ25</f>
        <v>11</v>
      </c>
      <c r="AD12">
        <f>'Company Scorecard'!AK25</f>
        <v>1</v>
      </c>
      <c r="AE12">
        <f>'Company Scorecard'!AL25</f>
        <v>1</v>
      </c>
      <c r="AF12">
        <f>'Company Scorecard'!AM25</f>
        <v>4</v>
      </c>
      <c r="AG12">
        <f>'Company Scorecard'!AN25</f>
        <v>2</v>
      </c>
      <c r="AH12">
        <f>'Company Scorecard'!AO25</f>
        <v>2</v>
      </c>
      <c r="AI12" s="154">
        <f>'Company Scorecard'!AP25</f>
        <v>9</v>
      </c>
      <c r="AJ12">
        <f>'Company Scorecard'!AQ25</f>
        <v>0</v>
      </c>
      <c r="AK12">
        <f>'Company Scorecard'!AR25</f>
        <v>3</v>
      </c>
      <c r="AL12">
        <f>'Company Scorecard'!AS25</f>
        <v>1</v>
      </c>
      <c r="AM12">
        <f>'Company Scorecard'!AT25</f>
        <v>3</v>
      </c>
      <c r="AN12" s="154">
        <f>'Company Scorecard'!AU25</f>
        <v>7</v>
      </c>
      <c r="AO12">
        <f>'Company Scorecard'!AV25</f>
        <v>0</v>
      </c>
      <c r="AP12">
        <f>'Company Scorecard'!AW25</f>
        <v>0</v>
      </c>
      <c r="AQ12">
        <f>'Company Scorecard'!AX25</f>
        <v>0</v>
      </c>
      <c r="AR12">
        <f>'Company Scorecard'!AY25</f>
        <v>1</v>
      </c>
      <c r="AS12" s="154">
        <f>'Company Scorecard'!AZ25</f>
        <v>2</v>
      </c>
      <c r="AT12">
        <f>'Company Scorecard'!BA25</f>
        <v>1</v>
      </c>
      <c r="AU12">
        <f>'Company Scorecard'!BB25</f>
        <v>2</v>
      </c>
      <c r="AV12">
        <f>'Company Scorecard'!BC25</f>
        <v>1</v>
      </c>
      <c r="AW12">
        <f>'Company Scorecard'!BD25</f>
        <v>1</v>
      </c>
      <c r="AX12">
        <f>'Company Scorecard'!BE25</f>
        <v>1</v>
      </c>
      <c r="AY12" s="154">
        <f>'Company Scorecard'!BF25</f>
        <v>5</v>
      </c>
      <c r="AZ12">
        <f>'Company Scorecard'!BG25</f>
        <v>0</v>
      </c>
      <c r="BA12">
        <f>'Company Scorecard'!BH25</f>
        <v>0</v>
      </c>
      <c r="BB12">
        <f>'Company Scorecard'!BI25</f>
        <v>2</v>
      </c>
      <c r="BC12">
        <f>'Company Scorecard'!BJ25</f>
        <v>3</v>
      </c>
      <c r="BD12" s="154">
        <f>'Company Scorecard'!BK25</f>
        <v>5</v>
      </c>
      <c r="BE12">
        <f>'Company Scorecard'!BL25</f>
        <v>0</v>
      </c>
      <c r="BF12">
        <f>'Company Scorecard'!BM25</f>
        <v>0</v>
      </c>
      <c r="BG12">
        <f>'Company Scorecard'!BN25</f>
        <v>0</v>
      </c>
      <c r="BH12">
        <f>'Company Scorecard'!BO25</f>
        <v>0</v>
      </c>
      <c r="BI12">
        <f>'Company Scorecard'!BP25</f>
        <v>2</v>
      </c>
      <c r="BJ12" s="154">
        <f>'Company Scorecard'!BQ25</f>
        <v>0</v>
      </c>
      <c r="BK12">
        <f>'Company Scorecard'!BR25</f>
        <v>0</v>
      </c>
      <c r="BL12">
        <f>'Company Scorecard'!BS25</f>
        <v>0</v>
      </c>
      <c r="BM12">
        <f>'Company Scorecard'!BT25</f>
        <v>1</v>
      </c>
      <c r="BN12">
        <f>'Company Scorecard'!BU25</f>
        <v>0</v>
      </c>
      <c r="BO12" s="353">
        <f>'Company Scorecard'!BV25</f>
        <v>1</v>
      </c>
      <c r="BP12" s="353">
        <f>'Company Scorecard'!BW25</f>
        <v>1</v>
      </c>
      <c r="BQ12" s="353">
        <f>'Company Scorecard'!BX25</f>
        <v>0</v>
      </c>
      <c r="BR12" s="353">
        <f>'Company Scorecard'!BY25</f>
        <v>1</v>
      </c>
      <c r="BS12" s="353">
        <f>'Company Scorecard'!BZ25</f>
        <v>1</v>
      </c>
      <c r="BT12" s="353">
        <f>'Company Scorecard'!CA25</f>
        <v>3</v>
      </c>
      <c r="BU12" s="154">
        <f>'Company Scorecard'!CB25</f>
        <v>0</v>
      </c>
      <c r="BV12" s="154">
        <f>'Company Scorecard'!CC25</f>
        <v>1</v>
      </c>
      <c r="BW12" s="154">
        <f>'Company Scorecard'!CD25</f>
        <v>1</v>
      </c>
      <c r="BX12" s="154">
        <f>'Company Scorecard'!CE25</f>
        <v>1</v>
      </c>
      <c r="BY12" s="353">
        <f>'Company Scorecard'!CF25</f>
        <v>3</v>
      </c>
      <c r="BZ12" s="154">
        <f>'Company Scorecard'!CG25</f>
        <v>3</v>
      </c>
      <c r="CA12" s="154">
        <f>'Company Scorecard'!CH25</f>
        <v>0</v>
      </c>
      <c r="CB12" s="154">
        <f>'Company Scorecard'!CI25</f>
        <v>0</v>
      </c>
      <c r="CC12" s="154">
        <f>'Company Scorecard'!CJ25</f>
        <v>1</v>
      </c>
      <c r="CD12" s="154">
        <f>'Company Scorecard'!CK25</f>
        <v>2</v>
      </c>
      <c r="CE12" s="353">
        <f>'Company Scorecard'!CL25</f>
        <v>5</v>
      </c>
    </row>
    <row r="13" spans="1:83">
      <c r="A13" s="51"/>
      <c r="B13" s="56">
        <v>35</v>
      </c>
      <c r="C13" t="s">
        <v>89</v>
      </c>
      <c r="D13">
        <f>'Company Scorecard'!K26</f>
        <v>8</v>
      </c>
      <c r="E13">
        <f>'Company Scorecard'!L26</f>
        <v>10</v>
      </c>
      <c r="F13">
        <f>'Company Scorecard'!M26</f>
        <v>7</v>
      </c>
      <c r="G13">
        <f>'Company Scorecard'!N26</f>
        <v>6</v>
      </c>
      <c r="H13" s="154">
        <f>'Company Scorecard'!O26</f>
        <v>33</v>
      </c>
      <c r="I13">
        <f>'Company Scorecard'!P26</f>
        <v>12</v>
      </c>
      <c r="J13">
        <f>'Company Scorecard'!Q26</f>
        <v>10</v>
      </c>
      <c r="K13">
        <f>'Company Scorecard'!R26</f>
        <v>5</v>
      </c>
      <c r="L13">
        <f>'Company Scorecard'!S26</f>
        <v>6</v>
      </c>
      <c r="M13" s="154">
        <f>'Company Scorecard'!T26</f>
        <v>35</v>
      </c>
      <c r="N13">
        <f>'Company Scorecard'!U26</f>
        <v>9</v>
      </c>
      <c r="O13">
        <f>'Company Scorecard'!V26</f>
        <v>5</v>
      </c>
      <c r="P13">
        <f>'Company Scorecard'!W26</f>
        <v>9</v>
      </c>
      <c r="Q13">
        <f>'Company Scorecard'!X26</f>
        <v>5</v>
      </c>
      <c r="R13">
        <f>'Company Scorecard'!Y26</f>
        <v>9</v>
      </c>
      <c r="S13" s="154">
        <f>'Company Scorecard'!Z26</f>
        <v>32</v>
      </c>
      <c r="T13">
        <f>'Company Scorecard'!AA26</f>
        <v>6</v>
      </c>
      <c r="U13">
        <f>'Company Scorecard'!AB26</f>
        <v>6</v>
      </c>
      <c r="V13">
        <f>'Company Scorecard'!AC26</f>
        <v>10</v>
      </c>
      <c r="W13">
        <f>'Company Scorecard'!AD26</f>
        <v>7</v>
      </c>
      <c r="X13" s="154">
        <f>'Company Scorecard'!AE26</f>
        <v>33</v>
      </c>
      <c r="Y13">
        <f>'Company Scorecard'!AF26</f>
        <v>7</v>
      </c>
      <c r="Z13">
        <f>'Company Scorecard'!AG26</f>
        <v>3</v>
      </c>
      <c r="AA13">
        <f>'Company Scorecard'!AH26</f>
        <v>5</v>
      </c>
      <c r="AB13">
        <f>'Company Scorecard'!AI26</f>
        <v>5</v>
      </c>
      <c r="AC13" s="154">
        <f>'Company Scorecard'!AJ26</f>
        <v>21</v>
      </c>
      <c r="AD13">
        <f>'Company Scorecard'!AK26</f>
        <v>2</v>
      </c>
      <c r="AE13">
        <f>'Company Scorecard'!AL26</f>
        <v>10</v>
      </c>
      <c r="AF13">
        <f>'Company Scorecard'!AM26</f>
        <v>3</v>
      </c>
      <c r="AG13">
        <f>'Company Scorecard'!AN26</f>
        <v>8</v>
      </c>
      <c r="AH13">
        <f>'Company Scorecard'!AO26</f>
        <v>8</v>
      </c>
      <c r="AI13" s="154">
        <f>'Company Scorecard'!AP26</f>
        <v>29</v>
      </c>
      <c r="AJ13">
        <f>'Company Scorecard'!AQ26</f>
        <v>5</v>
      </c>
      <c r="AK13">
        <f>'Company Scorecard'!AR26</f>
        <v>4</v>
      </c>
      <c r="AL13">
        <f>'Company Scorecard'!AS26</f>
        <v>7</v>
      </c>
      <c r="AM13">
        <f>'Company Scorecard'!AT26</f>
        <v>4</v>
      </c>
      <c r="AN13" s="154">
        <f>'Company Scorecard'!AU26</f>
        <v>22</v>
      </c>
      <c r="AO13">
        <f>'Company Scorecard'!AV26</f>
        <v>4</v>
      </c>
      <c r="AP13">
        <f>'Company Scorecard'!AW26</f>
        <v>2</v>
      </c>
      <c r="AQ13">
        <f>'Company Scorecard'!AX26</f>
        <v>7</v>
      </c>
      <c r="AR13">
        <f>'Company Scorecard'!AY26</f>
        <v>3</v>
      </c>
      <c r="AS13" s="154">
        <f>'Company Scorecard'!AZ26</f>
        <v>16</v>
      </c>
      <c r="AT13">
        <f>'Company Scorecard'!BA26</f>
        <v>3</v>
      </c>
      <c r="AU13">
        <f>'Company Scorecard'!BB26</f>
        <v>8</v>
      </c>
      <c r="AV13">
        <f>'Company Scorecard'!BC26</f>
        <v>6</v>
      </c>
      <c r="AW13">
        <f>'Company Scorecard'!BD26</f>
        <v>10</v>
      </c>
      <c r="AX13">
        <f>'Company Scorecard'!BE26</f>
        <v>6</v>
      </c>
      <c r="AY13" s="154">
        <f>'Company Scorecard'!BF26</f>
        <v>31</v>
      </c>
      <c r="AZ13">
        <f>'Company Scorecard'!BG26</f>
        <v>6</v>
      </c>
      <c r="BA13">
        <f>'Company Scorecard'!BH26</f>
        <v>5</v>
      </c>
      <c r="BB13">
        <f>'Company Scorecard'!BI26</f>
        <v>6</v>
      </c>
      <c r="BC13">
        <f>'Company Scorecard'!BJ26</f>
        <v>4</v>
      </c>
      <c r="BD13" s="154">
        <f>'Company Scorecard'!BK26</f>
        <v>22</v>
      </c>
      <c r="BE13">
        <f>'Company Scorecard'!BL26</f>
        <v>6</v>
      </c>
      <c r="BF13">
        <f>'Company Scorecard'!BM26</f>
        <v>11</v>
      </c>
      <c r="BG13">
        <f>'Company Scorecard'!BN26</f>
        <v>5</v>
      </c>
      <c r="BH13">
        <f>'Company Scorecard'!BO26</f>
        <v>7</v>
      </c>
      <c r="BI13">
        <f>'Company Scorecard'!BP26</f>
        <v>8</v>
      </c>
      <c r="BJ13" s="154">
        <f>'Company Scorecard'!BQ26</f>
        <v>31</v>
      </c>
      <c r="BK13">
        <f>'Company Scorecard'!BR26</f>
        <v>7</v>
      </c>
      <c r="BL13">
        <f>'Company Scorecard'!BS26</f>
        <v>4</v>
      </c>
      <c r="BM13">
        <f>'Company Scorecard'!BT26</f>
        <v>10</v>
      </c>
      <c r="BN13">
        <f>'Company Scorecard'!BU26</f>
        <v>11</v>
      </c>
      <c r="BO13" s="353">
        <f>'Company Scorecard'!BV26</f>
        <v>34</v>
      </c>
      <c r="BP13" s="353">
        <f>'Company Scorecard'!BW26</f>
        <v>7</v>
      </c>
      <c r="BQ13" s="353">
        <f>'Company Scorecard'!BX26</f>
        <v>6</v>
      </c>
      <c r="BR13" s="353">
        <f>'Company Scorecard'!BY26</f>
        <v>3</v>
      </c>
      <c r="BS13" s="353">
        <f>'Company Scorecard'!BZ26</f>
        <v>7</v>
      </c>
      <c r="BT13" s="353">
        <f>'Company Scorecard'!CA26</f>
        <v>23</v>
      </c>
      <c r="BU13" s="154">
        <f>'Company Scorecard'!CB26</f>
        <v>6</v>
      </c>
      <c r="BV13" s="154">
        <f>'Company Scorecard'!CC26</f>
        <v>0</v>
      </c>
      <c r="BW13" s="154">
        <f>'Company Scorecard'!CD26</f>
        <v>8</v>
      </c>
      <c r="BX13" s="154">
        <f>'Company Scorecard'!CE26</f>
        <v>5</v>
      </c>
      <c r="BY13" s="353">
        <f>'Company Scorecard'!CF26</f>
        <v>21</v>
      </c>
      <c r="BZ13" s="154">
        <f>'Company Scorecard'!CG26</f>
        <v>6</v>
      </c>
      <c r="CA13" s="154">
        <f>'Company Scorecard'!CH26</f>
        <v>3</v>
      </c>
      <c r="CB13" s="154">
        <f>'Company Scorecard'!CI26</f>
        <v>5</v>
      </c>
      <c r="CC13" s="154">
        <f>'Company Scorecard'!CJ26</f>
        <v>4</v>
      </c>
      <c r="CD13" s="154">
        <f>'Company Scorecard'!CK26</f>
        <v>7</v>
      </c>
      <c r="CE13" s="353">
        <f>'Company Scorecard'!CL26</f>
        <v>21</v>
      </c>
    </row>
    <row r="14" spans="1:83" s="11" customFormat="1">
      <c r="A14" s="50" t="s">
        <v>243</v>
      </c>
      <c r="B14" s="54" t="s">
        <v>2</v>
      </c>
      <c r="H14" s="153"/>
      <c r="M14" s="153"/>
      <c r="S14" s="153"/>
      <c r="X14" s="153"/>
      <c r="AC14" s="153"/>
      <c r="AI14" s="153"/>
      <c r="AN14" s="153"/>
      <c r="AS14" s="153"/>
      <c r="AY14" s="153"/>
      <c r="BD14" s="153"/>
      <c r="BJ14" s="153"/>
      <c r="BO14" s="354"/>
      <c r="BP14" s="354"/>
      <c r="BQ14" s="354"/>
      <c r="BR14" s="354"/>
      <c r="BS14" s="354"/>
      <c r="BT14" s="354"/>
      <c r="BU14" s="153"/>
      <c r="BV14" s="153"/>
      <c r="BW14" s="153"/>
      <c r="BX14" s="153"/>
      <c r="BY14" s="354"/>
      <c r="BZ14" s="153"/>
      <c r="CA14" s="153"/>
      <c r="CB14" s="153"/>
      <c r="CC14" s="153"/>
      <c r="CD14" s="153"/>
      <c r="CE14" s="354"/>
    </row>
    <row r="15" spans="1:83">
      <c r="A15" s="51"/>
      <c r="B15" s="57">
        <v>8</v>
      </c>
      <c r="C15" t="s">
        <v>76</v>
      </c>
      <c r="D15">
        <v>5</v>
      </c>
      <c r="E15">
        <v>5</v>
      </c>
      <c r="F15">
        <v>5</v>
      </c>
      <c r="G15">
        <v>9</v>
      </c>
      <c r="H15" s="154">
        <f>SUM(D15:G15)</f>
        <v>24</v>
      </c>
      <c r="I15">
        <v>5</v>
      </c>
      <c r="J15">
        <v>8</v>
      </c>
      <c r="K15">
        <v>8</v>
      </c>
      <c r="L15">
        <v>11</v>
      </c>
      <c r="M15" s="154">
        <v>40</v>
      </c>
      <c r="N15">
        <v>5</v>
      </c>
      <c r="O15">
        <v>10</v>
      </c>
      <c r="P15">
        <v>9</v>
      </c>
      <c r="Q15">
        <v>13</v>
      </c>
      <c r="R15">
        <v>6</v>
      </c>
      <c r="S15" s="154">
        <v>37</v>
      </c>
      <c r="T15">
        <v>12</v>
      </c>
      <c r="U15">
        <v>13</v>
      </c>
      <c r="V15">
        <v>13</v>
      </c>
      <c r="W15">
        <v>10</v>
      </c>
      <c r="X15" s="154">
        <v>46</v>
      </c>
      <c r="Y15">
        <v>7</v>
      </c>
      <c r="Z15">
        <v>7</v>
      </c>
      <c r="AA15">
        <v>8</v>
      </c>
      <c r="AB15">
        <v>9</v>
      </c>
      <c r="AC15" s="154">
        <v>34</v>
      </c>
      <c r="AD15">
        <v>8</v>
      </c>
      <c r="AE15">
        <v>4</v>
      </c>
      <c r="AF15">
        <v>12</v>
      </c>
      <c r="AG15">
        <v>7</v>
      </c>
      <c r="AH15">
        <v>6</v>
      </c>
      <c r="AI15" s="154">
        <v>31</v>
      </c>
      <c r="AJ15">
        <v>9</v>
      </c>
      <c r="AK15">
        <v>9</v>
      </c>
      <c r="AL15">
        <v>8</v>
      </c>
      <c r="AM15">
        <v>10</v>
      </c>
      <c r="AN15" s="154">
        <v>36</v>
      </c>
      <c r="AO15">
        <v>10</v>
      </c>
      <c r="AP15">
        <v>8</v>
      </c>
      <c r="AQ15">
        <v>7</v>
      </c>
      <c r="AR15">
        <v>5</v>
      </c>
      <c r="AS15" s="154">
        <v>35</v>
      </c>
      <c r="AT15">
        <v>10</v>
      </c>
      <c r="AU15">
        <v>9</v>
      </c>
      <c r="AV15">
        <v>10</v>
      </c>
      <c r="AW15">
        <v>11</v>
      </c>
      <c r="AX15">
        <v>7</v>
      </c>
      <c r="AY15" s="154">
        <v>41</v>
      </c>
      <c r="AZ15">
        <v>11</v>
      </c>
      <c r="BA15">
        <v>15</v>
      </c>
      <c r="BB15">
        <v>6</v>
      </c>
      <c r="BC15">
        <v>5</v>
      </c>
      <c r="BD15" s="154">
        <v>37</v>
      </c>
      <c r="BE15">
        <v>12</v>
      </c>
      <c r="BF15">
        <v>14</v>
      </c>
      <c r="BG15">
        <v>9</v>
      </c>
      <c r="BH15">
        <v>5</v>
      </c>
      <c r="BI15">
        <v>6</v>
      </c>
      <c r="BJ15" s="154">
        <v>43</v>
      </c>
      <c r="BK15">
        <v>6</v>
      </c>
      <c r="BL15">
        <v>5</v>
      </c>
      <c r="BM15">
        <v>7</v>
      </c>
      <c r="BN15">
        <v>0</v>
      </c>
      <c r="BO15" s="353">
        <v>31</v>
      </c>
      <c r="BP15" s="353">
        <v>11</v>
      </c>
      <c r="BQ15" s="353">
        <v>15</v>
      </c>
      <c r="BR15" s="353">
        <v>7</v>
      </c>
      <c r="BS15" s="353">
        <v>15</v>
      </c>
      <c r="BT15" s="353">
        <v>48</v>
      </c>
      <c r="BU15" s="154">
        <v>14</v>
      </c>
      <c r="BV15" s="154">
        <v>5</v>
      </c>
      <c r="BW15" s="154">
        <v>14</v>
      </c>
      <c r="BX15" s="154">
        <v>6</v>
      </c>
      <c r="BY15" s="353">
        <v>42</v>
      </c>
      <c r="BZ15" s="154">
        <v>6</v>
      </c>
      <c r="CA15" s="154">
        <v>10</v>
      </c>
      <c r="CB15" s="154">
        <v>11</v>
      </c>
      <c r="CC15" s="154">
        <v>9</v>
      </c>
      <c r="CD15" s="154">
        <v>9</v>
      </c>
      <c r="CE15" s="353">
        <v>37</v>
      </c>
    </row>
    <row r="16" spans="1:83">
      <c r="A16" s="51"/>
      <c r="B16" s="57">
        <v>4</v>
      </c>
      <c r="C16" t="s">
        <v>77</v>
      </c>
      <c r="D16">
        <v>2</v>
      </c>
      <c r="E16">
        <v>2</v>
      </c>
      <c r="F16">
        <v>2</v>
      </c>
      <c r="G16">
        <v>1</v>
      </c>
      <c r="H16" s="154">
        <f t="shared" ref="H16:H18" si="19">SUM(D16:G16)</f>
        <v>7</v>
      </c>
      <c r="I16">
        <v>0</v>
      </c>
      <c r="J16">
        <v>2</v>
      </c>
      <c r="K16">
        <v>2</v>
      </c>
      <c r="L16">
        <v>1</v>
      </c>
      <c r="M16" s="154">
        <v>6</v>
      </c>
      <c r="N16">
        <v>0</v>
      </c>
      <c r="O16">
        <v>2</v>
      </c>
      <c r="P16">
        <v>3</v>
      </c>
      <c r="Q16">
        <v>1</v>
      </c>
      <c r="R16">
        <v>1</v>
      </c>
      <c r="S16" s="154">
        <v>7</v>
      </c>
      <c r="T16">
        <v>2</v>
      </c>
      <c r="U16">
        <v>1</v>
      </c>
      <c r="V16">
        <v>1</v>
      </c>
      <c r="W16">
        <v>2</v>
      </c>
      <c r="X16" s="154">
        <v>10</v>
      </c>
      <c r="Y16">
        <v>5</v>
      </c>
      <c r="Z16">
        <v>2</v>
      </c>
      <c r="AA16">
        <v>5</v>
      </c>
      <c r="AB16">
        <v>3</v>
      </c>
      <c r="AC16" s="154">
        <v>15</v>
      </c>
      <c r="AD16">
        <v>4</v>
      </c>
      <c r="AE16">
        <v>2</v>
      </c>
      <c r="AF16">
        <v>2</v>
      </c>
      <c r="AG16">
        <v>4</v>
      </c>
      <c r="AH16">
        <v>6</v>
      </c>
      <c r="AI16" s="154">
        <v>18</v>
      </c>
      <c r="AJ16">
        <v>6</v>
      </c>
      <c r="AK16">
        <v>3</v>
      </c>
      <c r="AL16">
        <v>6</v>
      </c>
      <c r="AM16">
        <v>1</v>
      </c>
      <c r="AN16" s="154">
        <v>17</v>
      </c>
      <c r="AO16">
        <v>2</v>
      </c>
      <c r="AP16">
        <v>3</v>
      </c>
      <c r="AQ16">
        <v>1</v>
      </c>
      <c r="AR16">
        <v>3</v>
      </c>
      <c r="AS16" s="154">
        <v>9</v>
      </c>
      <c r="AT16">
        <v>2</v>
      </c>
      <c r="AU16">
        <v>2</v>
      </c>
      <c r="AV16">
        <v>5</v>
      </c>
      <c r="AW16">
        <v>11</v>
      </c>
      <c r="AX16">
        <v>6</v>
      </c>
      <c r="AY16" s="154">
        <v>27</v>
      </c>
      <c r="AZ16">
        <v>1</v>
      </c>
      <c r="BA16">
        <v>5</v>
      </c>
      <c r="BB16">
        <v>1</v>
      </c>
      <c r="BC16">
        <v>2</v>
      </c>
      <c r="BD16" s="154">
        <v>10</v>
      </c>
      <c r="BE16">
        <v>4</v>
      </c>
      <c r="BF16">
        <v>8</v>
      </c>
      <c r="BG16">
        <v>1</v>
      </c>
      <c r="BH16">
        <v>3</v>
      </c>
      <c r="BI16">
        <v>2</v>
      </c>
      <c r="BJ16" s="154">
        <v>18</v>
      </c>
      <c r="BK16">
        <v>2</v>
      </c>
      <c r="BL16">
        <v>3</v>
      </c>
      <c r="BM16">
        <v>4</v>
      </c>
      <c r="BN16">
        <v>0</v>
      </c>
      <c r="BO16" s="353">
        <v>18</v>
      </c>
      <c r="BP16" s="353">
        <v>10</v>
      </c>
      <c r="BQ16" s="353">
        <v>6</v>
      </c>
      <c r="BR16" s="353">
        <v>4</v>
      </c>
      <c r="BS16" s="353">
        <v>5</v>
      </c>
      <c r="BT16" s="353">
        <v>24</v>
      </c>
      <c r="BU16" s="154">
        <v>1</v>
      </c>
      <c r="BV16" s="154">
        <v>2</v>
      </c>
      <c r="BW16" s="154">
        <v>3</v>
      </c>
      <c r="BX16" s="154">
        <v>3</v>
      </c>
      <c r="BY16" s="353">
        <v>9</v>
      </c>
      <c r="BZ16" s="154">
        <v>2</v>
      </c>
      <c r="CA16" s="154">
        <v>7</v>
      </c>
      <c r="CB16" s="154">
        <v>6</v>
      </c>
      <c r="CC16" s="154">
        <v>10</v>
      </c>
      <c r="CD16" s="154">
        <v>5</v>
      </c>
      <c r="CE16" s="353">
        <v>28</v>
      </c>
    </row>
    <row r="17" spans="1:83">
      <c r="A17" s="51"/>
      <c r="B17" s="57">
        <v>4</v>
      </c>
      <c r="C17" t="s">
        <v>78</v>
      </c>
      <c r="D17">
        <v>2</v>
      </c>
      <c r="E17">
        <v>4</v>
      </c>
      <c r="F17">
        <v>4</v>
      </c>
      <c r="G17">
        <v>4</v>
      </c>
      <c r="H17" s="154">
        <f t="shared" si="19"/>
        <v>14</v>
      </c>
      <c r="I17">
        <v>3</v>
      </c>
      <c r="J17">
        <v>3</v>
      </c>
      <c r="K17">
        <v>7</v>
      </c>
      <c r="L17">
        <v>1</v>
      </c>
      <c r="M17" s="154">
        <v>16</v>
      </c>
      <c r="N17">
        <v>6</v>
      </c>
      <c r="O17">
        <v>2</v>
      </c>
      <c r="P17">
        <v>3</v>
      </c>
      <c r="Q17">
        <v>1</v>
      </c>
      <c r="R17">
        <v>0</v>
      </c>
      <c r="S17" s="154">
        <v>11</v>
      </c>
      <c r="T17">
        <v>2</v>
      </c>
      <c r="U17">
        <v>2</v>
      </c>
      <c r="V17">
        <v>2</v>
      </c>
      <c r="W17">
        <v>2</v>
      </c>
      <c r="X17" s="154">
        <v>9</v>
      </c>
      <c r="Y17">
        <v>2</v>
      </c>
      <c r="Z17">
        <v>6</v>
      </c>
      <c r="AA17">
        <v>4</v>
      </c>
      <c r="AB17">
        <v>5</v>
      </c>
      <c r="AC17" s="154">
        <v>17</v>
      </c>
      <c r="AD17">
        <v>2</v>
      </c>
      <c r="AE17">
        <v>6</v>
      </c>
      <c r="AF17">
        <v>3</v>
      </c>
      <c r="AG17">
        <v>5</v>
      </c>
      <c r="AH17">
        <v>1</v>
      </c>
      <c r="AI17" s="154">
        <v>18</v>
      </c>
      <c r="AJ17">
        <v>0</v>
      </c>
      <c r="AK17">
        <v>6</v>
      </c>
      <c r="AL17">
        <v>1</v>
      </c>
      <c r="AM17">
        <v>3</v>
      </c>
      <c r="AN17" s="154">
        <v>12</v>
      </c>
      <c r="AO17">
        <v>3</v>
      </c>
      <c r="AP17">
        <v>0</v>
      </c>
      <c r="AQ17">
        <v>0</v>
      </c>
      <c r="AR17">
        <v>1</v>
      </c>
      <c r="AS17" s="154">
        <v>5</v>
      </c>
      <c r="AT17">
        <v>2</v>
      </c>
      <c r="AU17">
        <v>3</v>
      </c>
      <c r="AV17">
        <v>2</v>
      </c>
      <c r="AW17">
        <v>0</v>
      </c>
      <c r="AX17">
        <v>2</v>
      </c>
      <c r="AY17" s="154">
        <v>7</v>
      </c>
      <c r="AZ17">
        <v>0</v>
      </c>
      <c r="BA17">
        <v>3</v>
      </c>
      <c r="BB17">
        <v>5</v>
      </c>
      <c r="BC17">
        <v>7</v>
      </c>
      <c r="BD17" s="154">
        <v>16</v>
      </c>
      <c r="BE17">
        <v>2</v>
      </c>
      <c r="BF17">
        <v>0</v>
      </c>
      <c r="BG17">
        <v>2</v>
      </c>
      <c r="BH17">
        <v>0</v>
      </c>
      <c r="BI17">
        <v>3</v>
      </c>
      <c r="BJ17" s="154">
        <v>6</v>
      </c>
      <c r="BK17">
        <v>3</v>
      </c>
      <c r="BL17">
        <v>0</v>
      </c>
      <c r="BM17">
        <v>2</v>
      </c>
      <c r="BN17">
        <v>0</v>
      </c>
      <c r="BO17" s="353">
        <v>2</v>
      </c>
      <c r="BP17" s="353">
        <v>1</v>
      </c>
      <c r="BQ17" s="353">
        <v>1</v>
      </c>
      <c r="BR17" s="353">
        <v>1</v>
      </c>
      <c r="BS17" s="353">
        <v>2</v>
      </c>
      <c r="BT17" s="353">
        <v>5</v>
      </c>
      <c r="BU17" s="154">
        <v>2</v>
      </c>
      <c r="BV17" s="154">
        <v>1</v>
      </c>
      <c r="BW17" s="154">
        <v>3</v>
      </c>
      <c r="BX17" s="154">
        <v>5</v>
      </c>
      <c r="BY17" s="353">
        <v>12</v>
      </c>
      <c r="BZ17" s="154">
        <v>6</v>
      </c>
      <c r="CA17" s="154">
        <v>2</v>
      </c>
      <c r="CB17" s="154">
        <v>0</v>
      </c>
      <c r="CC17" s="154">
        <v>2</v>
      </c>
      <c r="CD17" s="154">
        <v>1</v>
      </c>
      <c r="CE17" s="353">
        <v>10</v>
      </c>
    </row>
    <row r="18" spans="1:83">
      <c r="A18" s="51"/>
      <c r="B18" s="57">
        <v>9</v>
      </c>
      <c r="C18" t="s">
        <v>89</v>
      </c>
      <c r="D18">
        <v>10</v>
      </c>
      <c r="E18">
        <v>7</v>
      </c>
      <c r="F18">
        <v>7</v>
      </c>
      <c r="G18">
        <v>7</v>
      </c>
      <c r="H18" s="154">
        <f t="shared" si="19"/>
        <v>31</v>
      </c>
      <c r="I18">
        <v>8</v>
      </c>
      <c r="J18">
        <v>10</v>
      </c>
      <c r="K18">
        <v>6</v>
      </c>
      <c r="L18">
        <v>10</v>
      </c>
      <c r="M18" s="154">
        <v>42</v>
      </c>
      <c r="N18">
        <v>5</v>
      </c>
      <c r="O18">
        <v>7</v>
      </c>
      <c r="P18">
        <v>11</v>
      </c>
      <c r="Q18">
        <v>6</v>
      </c>
      <c r="R18">
        <v>10</v>
      </c>
      <c r="S18" s="154">
        <v>37</v>
      </c>
      <c r="T18">
        <v>6</v>
      </c>
      <c r="U18">
        <v>6</v>
      </c>
      <c r="V18">
        <v>6</v>
      </c>
      <c r="W18">
        <v>6</v>
      </c>
      <c r="X18" s="154">
        <v>36</v>
      </c>
      <c r="Y18">
        <v>6</v>
      </c>
      <c r="Z18">
        <v>5</v>
      </c>
      <c r="AA18">
        <v>9</v>
      </c>
      <c r="AB18">
        <v>3</v>
      </c>
      <c r="AC18" s="154">
        <v>23</v>
      </c>
      <c r="AD18">
        <v>4</v>
      </c>
      <c r="AE18">
        <v>11</v>
      </c>
      <c r="AF18">
        <v>5</v>
      </c>
      <c r="AG18">
        <v>12</v>
      </c>
      <c r="AH18">
        <v>13</v>
      </c>
      <c r="AI18" s="154">
        <v>41</v>
      </c>
      <c r="AJ18">
        <v>8</v>
      </c>
      <c r="AK18">
        <v>8</v>
      </c>
      <c r="AL18">
        <v>8</v>
      </c>
      <c r="AM18">
        <v>5</v>
      </c>
      <c r="AN18" s="154">
        <v>33</v>
      </c>
      <c r="AO18">
        <v>6</v>
      </c>
      <c r="AP18">
        <v>3</v>
      </c>
      <c r="AQ18">
        <v>8</v>
      </c>
      <c r="AR18">
        <v>6</v>
      </c>
      <c r="AS18" s="154">
        <v>29</v>
      </c>
      <c r="AT18">
        <v>12</v>
      </c>
      <c r="AU18">
        <v>5</v>
      </c>
      <c r="AV18">
        <v>7</v>
      </c>
      <c r="AW18">
        <v>12</v>
      </c>
      <c r="AX18">
        <v>10</v>
      </c>
      <c r="AY18" s="154">
        <v>38</v>
      </c>
      <c r="AZ18">
        <v>10</v>
      </c>
      <c r="BA18">
        <v>8</v>
      </c>
      <c r="BB18">
        <v>7</v>
      </c>
      <c r="BC18">
        <v>4</v>
      </c>
      <c r="BD18" s="154">
        <v>30</v>
      </c>
      <c r="BE18">
        <v>11</v>
      </c>
      <c r="BF18">
        <v>12</v>
      </c>
      <c r="BG18">
        <v>14</v>
      </c>
      <c r="BH18">
        <v>7</v>
      </c>
      <c r="BI18">
        <v>12</v>
      </c>
      <c r="BJ18" s="154">
        <f>14+38</f>
        <v>52</v>
      </c>
      <c r="BK18">
        <v>12</v>
      </c>
      <c r="BL18">
        <v>9</v>
      </c>
      <c r="BM18">
        <v>12</v>
      </c>
      <c r="BN18">
        <v>2</v>
      </c>
      <c r="BO18" s="353">
        <v>48</v>
      </c>
      <c r="BP18" s="353">
        <v>6</v>
      </c>
      <c r="BQ18" s="353">
        <v>8</v>
      </c>
      <c r="BR18" s="353">
        <v>3</v>
      </c>
      <c r="BS18" s="353">
        <v>14</v>
      </c>
      <c r="BT18" s="353">
        <v>35</v>
      </c>
      <c r="BU18" s="154">
        <v>6</v>
      </c>
      <c r="BV18" s="154">
        <v>10</v>
      </c>
      <c r="BW18" s="154">
        <f>1+6</f>
        <v>7</v>
      </c>
      <c r="BX18" s="154">
        <v>7</v>
      </c>
      <c r="BY18" s="353">
        <v>37</v>
      </c>
      <c r="BZ18" s="154">
        <v>14</v>
      </c>
      <c r="CA18" s="154">
        <v>6</v>
      </c>
      <c r="CB18" s="154">
        <v>7</v>
      </c>
      <c r="CC18" s="154">
        <v>11</v>
      </c>
      <c r="CD18" s="154">
        <v>8</v>
      </c>
      <c r="CE18" s="353">
        <v>40</v>
      </c>
    </row>
    <row r="19" spans="1:83" s="11" customFormat="1">
      <c r="A19" s="50" t="s">
        <v>244</v>
      </c>
      <c r="B19" s="54" t="s">
        <v>2</v>
      </c>
      <c r="H19" s="153"/>
      <c r="M19" s="153"/>
      <c r="S19" s="153"/>
      <c r="X19" s="153"/>
      <c r="AC19" s="153"/>
      <c r="AI19" s="153"/>
      <c r="AN19" s="153"/>
      <c r="AS19" s="153"/>
      <c r="AY19" s="153"/>
      <c r="BD19" s="153"/>
      <c r="BJ19" s="153"/>
      <c r="BO19" s="341"/>
      <c r="BP19" s="341"/>
      <c r="BQ19" s="341"/>
      <c r="BR19" s="341"/>
      <c r="BS19" s="341"/>
      <c r="BT19" s="341"/>
      <c r="BU19" s="153"/>
      <c r="BV19" s="153"/>
      <c r="BW19" s="153"/>
      <c r="BX19" s="153"/>
      <c r="BY19" s="341"/>
      <c r="BZ19" s="153"/>
      <c r="CA19" s="153"/>
      <c r="CB19" s="153"/>
      <c r="CC19" s="153"/>
      <c r="CD19" s="153"/>
      <c r="CE19" s="341"/>
    </row>
    <row r="20" spans="1:83" s="26" customFormat="1">
      <c r="A20" s="52"/>
      <c r="B20" s="58" t="s">
        <v>245</v>
      </c>
      <c r="C20" s="26" t="s">
        <v>76</v>
      </c>
      <c r="D20" s="26">
        <f t="shared" ref="D20:E20" si="20">IF(IFERROR(1-D10/D15,0)&lt;0,0,IFERROR(1-D10/D15,0))</f>
        <v>1</v>
      </c>
      <c r="E20" s="26">
        <f t="shared" si="20"/>
        <v>0</v>
      </c>
      <c r="F20" s="26">
        <f t="shared" ref="F20:G20" si="21">IF(IFERROR(1-F10/F15,0)&lt;0,0,IFERROR(1-F10/F15,0))</f>
        <v>0</v>
      </c>
      <c r="G20" s="26">
        <f t="shared" si="21"/>
        <v>0.66666666666666674</v>
      </c>
      <c r="H20" s="155">
        <f t="shared" ref="H20" si="22">IF(IFERROR(1-H10/H15,0)&lt;0,0,IFERROR(1-H10/H15,0))</f>
        <v>0.25</v>
      </c>
      <c r="I20" s="26">
        <f t="shared" ref="I20:J20" si="23">IF(IFERROR(1-I10/I15,0)&lt;0,0,IFERROR(1-I10/I15,0))</f>
        <v>0</v>
      </c>
      <c r="J20" s="26">
        <f t="shared" si="23"/>
        <v>0.125</v>
      </c>
      <c r="K20" s="26">
        <f t="shared" ref="K20:L20" si="24">IF(IFERROR(1-K10/K15,0)&lt;0,0,IFERROR(1-K10/K15,0))</f>
        <v>0.5</v>
      </c>
      <c r="L20" s="26">
        <f t="shared" si="24"/>
        <v>9.0909090909090939E-2</v>
      </c>
      <c r="M20" s="155">
        <f t="shared" ref="M20:N22" si="25">IF(IFERROR(1-M10/M15,0)&lt;0,0,IFERROR(1-M10/M15,0))</f>
        <v>0.25</v>
      </c>
      <c r="N20" s="26">
        <f t="shared" si="25"/>
        <v>0</v>
      </c>
      <c r="O20" s="26">
        <f t="shared" ref="O20" si="26">IF(IFERROR(1-O10/O15,0)&lt;0,0,IFERROR(1-O10/O15,0))</f>
        <v>0.5</v>
      </c>
      <c r="P20" s="26">
        <f t="shared" ref="P20:Q23" si="27">IF(IFERROR(1-P10/P15,0)&lt;0,0,IFERROR(1-P10/P15,0))</f>
        <v>0</v>
      </c>
      <c r="Q20" s="26">
        <f t="shared" si="27"/>
        <v>0.53846153846153844</v>
      </c>
      <c r="R20" s="26">
        <f t="shared" ref="R20:T20" si="28">IF(IFERROR(1-R10/R15,0)&lt;0,0,IFERROR(1-R10/R15,0))</f>
        <v>0.33333333333333337</v>
      </c>
      <c r="S20" s="155">
        <f t="shared" si="28"/>
        <v>0.35135135135135132</v>
      </c>
      <c r="T20" s="26">
        <f t="shared" si="28"/>
        <v>0.16666666666666663</v>
      </c>
      <c r="U20" s="26">
        <f t="shared" ref="U20:V20" si="29">IF(IFERROR(1-U10/U15,0)&lt;0,0,IFERROR(1-U10/U15,0))</f>
        <v>7.6923076923076872E-2</v>
      </c>
      <c r="V20" s="26">
        <f t="shared" si="29"/>
        <v>0.53846153846153844</v>
      </c>
      <c r="W20" s="26">
        <f t="shared" ref="W20:X20" si="30">IF(IFERROR(1-W10/W15,0)&lt;0,0,IFERROR(1-W10/W15,0))</f>
        <v>0.6</v>
      </c>
      <c r="X20" s="155">
        <f t="shared" si="30"/>
        <v>0.21739130434782605</v>
      </c>
      <c r="Y20" s="26">
        <f t="shared" ref="Y20:Z20" si="31">IF(IFERROR(1-Y10/Y15,0)&lt;0,0,IFERROR(1-Y10/Y15,0))</f>
        <v>0.1428571428571429</v>
      </c>
      <c r="Z20" s="26">
        <f t="shared" si="31"/>
        <v>0.4285714285714286</v>
      </c>
      <c r="AA20" s="26">
        <f t="shared" ref="AA20:AC20" si="32">IF(IFERROR(1-AA10/AA15,0)&lt;0,0,IFERROR(1-AA10/AA15,0))</f>
        <v>0</v>
      </c>
      <c r="AB20" s="26">
        <f t="shared" si="32"/>
        <v>0</v>
      </c>
      <c r="AC20" s="155">
        <f t="shared" si="32"/>
        <v>8.8235294117647078E-2</v>
      </c>
      <c r="AD20" s="26">
        <f t="shared" ref="AD20" si="33">IF(IFERROR(1-AD10/AD15,0)&lt;0,0,IFERROR(1-AD10/AD15,0))</f>
        <v>0</v>
      </c>
      <c r="AE20" s="26">
        <f t="shared" ref="AE20:AH23" si="34">IF(IFERROR(1-AE10/AE15,0)&lt;0,0,IFERROR(1-AE10/AE15,0))</f>
        <v>0.25</v>
      </c>
      <c r="AF20" s="26">
        <f t="shared" si="34"/>
        <v>0.33333333333333337</v>
      </c>
      <c r="AG20" s="26">
        <f t="shared" si="34"/>
        <v>0.1428571428571429</v>
      </c>
      <c r="AH20" s="26">
        <f t="shared" si="34"/>
        <v>0.16666666666666663</v>
      </c>
      <c r="AI20" s="155">
        <f t="shared" ref="AI20" si="35">IF(IFERROR(1-AI10/AI15,0)&lt;0,0,IFERROR(1-AI10/AI15,0))</f>
        <v>6.4516129032258118E-2</v>
      </c>
      <c r="AJ20" s="26">
        <f t="shared" ref="AJ20:AM23" si="36">IF(IFERROR(1-AJ10/AJ15,0)&lt;0,0,IFERROR(1-AJ10/AJ15,0))</f>
        <v>0.22222222222222221</v>
      </c>
      <c r="AK20" s="26">
        <f t="shared" si="36"/>
        <v>0</v>
      </c>
      <c r="AL20" s="26">
        <f t="shared" si="36"/>
        <v>0.25</v>
      </c>
      <c r="AM20" s="26">
        <f t="shared" si="36"/>
        <v>0.19999999999999996</v>
      </c>
      <c r="AN20" s="155">
        <f t="shared" ref="AN20:AN23" si="37">IF(IFERROR(1-AN10/AN15,0)&lt;0,0,IFERROR(1-AN10/AN15,0))</f>
        <v>0.11111111111111116</v>
      </c>
      <c r="AO20" s="26">
        <f t="shared" ref="AO20:BP20" si="38">IF(IFERROR(1-AO10/AO15,0)&lt;0,0,IFERROR(1-AO10/AO15,0))</f>
        <v>0.30000000000000004</v>
      </c>
      <c r="AP20" s="26">
        <f t="shared" si="38"/>
        <v>0</v>
      </c>
      <c r="AQ20" s="26">
        <f t="shared" si="38"/>
        <v>0.2857142857142857</v>
      </c>
      <c r="AR20" s="26">
        <f t="shared" si="38"/>
        <v>0</v>
      </c>
      <c r="AS20" s="155">
        <f t="shared" si="38"/>
        <v>0.2857142857142857</v>
      </c>
      <c r="AT20" s="26">
        <f t="shared" si="38"/>
        <v>0.4</v>
      </c>
      <c r="AU20" s="26">
        <f t="shared" si="38"/>
        <v>0.22222222222222221</v>
      </c>
      <c r="AV20" s="26">
        <f t="shared" si="38"/>
        <v>0.4</v>
      </c>
      <c r="AW20" s="26">
        <f t="shared" si="38"/>
        <v>0.54545454545454541</v>
      </c>
      <c r="AX20" s="26">
        <f t="shared" si="38"/>
        <v>0</v>
      </c>
      <c r="AY20" s="155">
        <f t="shared" si="38"/>
        <v>0.26829268292682928</v>
      </c>
      <c r="AZ20" s="26">
        <f t="shared" si="38"/>
        <v>0.27272727272727271</v>
      </c>
      <c r="BA20" s="26">
        <f t="shared" si="38"/>
        <v>0.46666666666666667</v>
      </c>
      <c r="BB20" s="26">
        <f t="shared" si="38"/>
        <v>0.5</v>
      </c>
      <c r="BC20" s="26">
        <f t="shared" si="38"/>
        <v>0.6</v>
      </c>
      <c r="BD20" s="155">
        <f t="shared" si="38"/>
        <v>0.43243243243243246</v>
      </c>
      <c r="BE20" s="26">
        <f t="shared" si="38"/>
        <v>0.25</v>
      </c>
      <c r="BF20" s="26">
        <f t="shared" si="38"/>
        <v>0.5714285714285714</v>
      </c>
      <c r="BG20" s="26">
        <f t="shared" si="38"/>
        <v>0</v>
      </c>
      <c r="BH20" s="26">
        <f t="shared" si="38"/>
        <v>0</v>
      </c>
      <c r="BI20" s="26">
        <f t="shared" si="38"/>
        <v>0.33333333333333337</v>
      </c>
      <c r="BJ20" s="155">
        <f t="shared" si="38"/>
        <v>0.27906976744186052</v>
      </c>
      <c r="BK20" s="26">
        <f t="shared" si="38"/>
        <v>0.33333333333333337</v>
      </c>
      <c r="BL20" s="26">
        <f t="shared" si="38"/>
        <v>0.19999999999999996</v>
      </c>
      <c r="BM20" s="26">
        <f t="shared" si="38"/>
        <v>0</v>
      </c>
      <c r="BN20" s="26">
        <f t="shared" si="38"/>
        <v>0</v>
      </c>
      <c r="BO20" s="355">
        <f t="shared" si="38"/>
        <v>0.35483870967741937</v>
      </c>
      <c r="BP20" s="355">
        <f t="shared" si="38"/>
        <v>9.0909090909090939E-2</v>
      </c>
      <c r="BQ20" s="355">
        <f t="shared" ref="BQ20:BR20" si="39">IF(IFERROR(1-BQ10/BQ15,0)&lt;0,0,IFERROR(1-BQ10/BQ15,0))</f>
        <v>0.33333333333333337</v>
      </c>
      <c r="BR20" s="355">
        <f t="shared" si="39"/>
        <v>0.1428571428571429</v>
      </c>
      <c r="BS20" s="355">
        <f t="shared" ref="BS20:BT20" si="40">IF(IFERROR(1-BS10/BS15,0)&lt;0,0,IFERROR(1-BS10/BS15,0))</f>
        <v>0.33333333333333337</v>
      </c>
      <c r="BT20" s="355">
        <f t="shared" si="40"/>
        <v>0.25</v>
      </c>
      <c r="BU20" s="155">
        <f t="shared" ref="BU20:BV20" si="41">IF(IFERROR(1-BU10/BU15,0)&lt;0,0,IFERROR(1-BU10/BU15,0))</f>
        <v>0.3571428571428571</v>
      </c>
      <c r="BV20" s="155">
        <f t="shared" si="41"/>
        <v>0.19999999999999996</v>
      </c>
      <c r="BW20" s="155">
        <f t="shared" ref="BW20:BY20" si="42">IF(IFERROR(1-BW10/BW15,0)&lt;0,0,IFERROR(1-BW10/BW15,0))</f>
        <v>0.3571428571428571</v>
      </c>
      <c r="BX20" s="155">
        <f t="shared" si="42"/>
        <v>0.16666666666666663</v>
      </c>
      <c r="BY20" s="355">
        <f t="shared" si="42"/>
        <v>0.33333333333333337</v>
      </c>
      <c r="BZ20" s="155">
        <f t="shared" ref="BZ20:CA20" si="43">IF(IFERROR(1-BZ10/BZ15,0)&lt;0,0,IFERROR(1-BZ10/BZ15,0))</f>
        <v>0.5</v>
      </c>
      <c r="CA20" s="155">
        <f t="shared" si="43"/>
        <v>0.6</v>
      </c>
      <c r="CB20" s="155">
        <f t="shared" ref="CB20:CC20" si="44">IF(IFERROR(1-CB10/CB15,0)&lt;0,0,IFERROR(1-CB10/CB15,0))</f>
        <v>0.54545454545454541</v>
      </c>
      <c r="CC20" s="155">
        <f t="shared" si="44"/>
        <v>0.33333333333333337</v>
      </c>
      <c r="CD20" s="155">
        <f t="shared" ref="CD20:CE20" si="45">IF(IFERROR(1-CD10/CD15,0)&lt;0,0,IFERROR(1-CD10/CD15,0))</f>
        <v>0.55555555555555558</v>
      </c>
      <c r="CE20" s="355">
        <f t="shared" si="45"/>
        <v>0.43243243243243246</v>
      </c>
    </row>
    <row r="21" spans="1:83" s="26" customFormat="1">
      <c r="A21" s="52"/>
      <c r="B21" s="58" t="s">
        <v>245</v>
      </c>
      <c r="C21" s="26" t="s">
        <v>77</v>
      </c>
      <c r="D21" s="26">
        <f t="shared" ref="D21:E21" si="46">IF(IFERROR(1-D11/D16,0)&lt;0,0,IFERROR(1-D11/D16,0))</f>
        <v>0</v>
      </c>
      <c r="E21" s="26">
        <f t="shared" si="46"/>
        <v>0.5</v>
      </c>
      <c r="F21" s="26">
        <f t="shared" ref="F21:G21" si="47">IF(IFERROR(1-F11/F16,0)&lt;0,0,IFERROR(1-F11/F16,0))</f>
        <v>0.5</v>
      </c>
      <c r="G21" s="26">
        <f t="shared" si="47"/>
        <v>1</v>
      </c>
      <c r="H21" s="155">
        <f t="shared" ref="H21" si="48">IF(IFERROR(1-H11/H16,0)&lt;0,0,IFERROR(1-H11/H16,0))</f>
        <v>0.4285714285714286</v>
      </c>
      <c r="I21" s="26">
        <f t="shared" ref="I21:J21" si="49">IF(IFERROR(1-I11/I16,0)&lt;0,0,IFERROR(1-I11/I16,0))</f>
        <v>0</v>
      </c>
      <c r="J21" s="26">
        <f t="shared" si="49"/>
        <v>0</v>
      </c>
      <c r="K21" s="26">
        <f t="shared" ref="K21:L21" si="50">IF(IFERROR(1-K11/K16,0)&lt;0,0,IFERROR(1-K11/K16,0))</f>
        <v>1</v>
      </c>
      <c r="L21" s="26">
        <f t="shared" si="50"/>
        <v>0</v>
      </c>
      <c r="M21" s="155">
        <f t="shared" si="25"/>
        <v>0.33333333333333337</v>
      </c>
      <c r="N21" s="26">
        <f t="shared" si="25"/>
        <v>0</v>
      </c>
      <c r="O21" s="26">
        <f t="shared" ref="O21" si="51">IF(IFERROR(1-O11/O16,0)&lt;0,0,IFERROR(1-O11/O16,0))</f>
        <v>0</v>
      </c>
      <c r="P21" s="26">
        <f t="shared" si="27"/>
        <v>0.66666666666666674</v>
      </c>
      <c r="Q21" s="26">
        <f t="shared" si="27"/>
        <v>0</v>
      </c>
      <c r="R21" s="26">
        <f t="shared" ref="R21:T21" si="52">IF(IFERROR(1-R11/R16,0)&lt;0,0,IFERROR(1-R11/R16,0))</f>
        <v>0</v>
      </c>
      <c r="S21" s="155">
        <f t="shared" si="52"/>
        <v>0.2857142857142857</v>
      </c>
      <c r="T21" s="26">
        <f t="shared" si="52"/>
        <v>0.5</v>
      </c>
      <c r="U21" s="26">
        <f t="shared" ref="U21:V21" si="53">IF(IFERROR(1-U11/U16,0)&lt;0,0,IFERROR(1-U11/U16,0))</f>
        <v>0</v>
      </c>
      <c r="V21" s="26">
        <f t="shared" si="53"/>
        <v>0</v>
      </c>
      <c r="W21" s="26">
        <f t="shared" ref="W21:X21" si="54">IF(IFERROR(1-W11/W16,0)&lt;0,0,IFERROR(1-W11/W16,0))</f>
        <v>1</v>
      </c>
      <c r="X21" s="155">
        <f t="shared" si="54"/>
        <v>0.4</v>
      </c>
      <c r="Y21" s="26">
        <f t="shared" ref="Y21:Z21" si="55">IF(IFERROR(1-Y11/Y16,0)&lt;0,0,IFERROR(1-Y11/Y16,0))</f>
        <v>0.19999999999999996</v>
      </c>
      <c r="Z21" s="26">
        <f t="shared" si="55"/>
        <v>0</v>
      </c>
      <c r="AA21" s="26">
        <f t="shared" ref="AA21:AC21" si="56">IF(IFERROR(1-AA11/AA16,0)&lt;0,0,IFERROR(1-AA11/AA16,0))</f>
        <v>0.4</v>
      </c>
      <c r="AB21" s="26">
        <f t="shared" si="56"/>
        <v>0.33333333333333337</v>
      </c>
      <c r="AC21" s="155">
        <f t="shared" si="56"/>
        <v>0.26666666666666672</v>
      </c>
      <c r="AD21" s="26">
        <f t="shared" ref="AD21" si="57">IF(IFERROR(1-AD11/AD16,0)&lt;0,0,IFERROR(1-AD11/AD16,0))</f>
        <v>0.25</v>
      </c>
      <c r="AE21" s="26">
        <f t="shared" si="34"/>
        <v>0</v>
      </c>
      <c r="AF21" s="26">
        <f t="shared" si="34"/>
        <v>0</v>
      </c>
      <c r="AG21" s="26">
        <f t="shared" si="34"/>
        <v>0.5</v>
      </c>
      <c r="AH21" s="26">
        <f t="shared" si="34"/>
        <v>0.16666666666666663</v>
      </c>
      <c r="AI21" s="155">
        <f t="shared" ref="AI21" si="58">IF(IFERROR(1-AI11/AI16,0)&lt;0,0,IFERROR(1-AI11/AI16,0))</f>
        <v>0.27777777777777779</v>
      </c>
      <c r="AJ21" s="26">
        <f t="shared" si="36"/>
        <v>0.66666666666666674</v>
      </c>
      <c r="AK21" s="26">
        <f t="shared" si="36"/>
        <v>0</v>
      </c>
      <c r="AL21" s="26">
        <f t="shared" si="36"/>
        <v>0.5</v>
      </c>
      <c r="AM21" s="26">
        <f t="shared" si="36"/>
        <v>0</v>
      </c>
      <c r="AN21" s="155">
        <f t="shared" si="37"/>
        <v>0.29411764705882348</v>
      </c>
      <c r="AO21" s="26">
        <f t="shared" ref="AO21:BP21" si="59">IF(IFERROR(1-AO11/AO16,0)&lt;0,0,IFERROR(1-AO11/AO16,0))</f>
        <v>0.5</v>
      </c>
      <c r="AP21" s="26">
        <f t="shared" si="59"/>
        <v>0</v>
      </c>
      <c r="AQ21" s="26">
        <f t="shared" si="59"/>
        <v>0</v>
      </c>
      <c r="AR21" s="26">
        <f t="shared" si="59"/>
        <v>0.33333333333333337</v>
      </c>
      <c r="AS21" s="155">
        <f t="shared" si="59"/>
        <v>0.11111111111111116</v>
      </c>
      <c r="AT21" s="26">
        <f t="shared" si="59"/>
        <v>0.5</v>
      </c>
      <c r="AU21" s="26">
        <f t="shared" si="59"/>
        <v>0.5</v>
      </c>
      <c r="AV21" s="26">
        <f t="shared" si="59"/>
        <v>0.19999999999999996</v>
      </c>
      <c r="AW21" s="26">
        <f t="shared" si="59"/>
        <v>0.90909090909090906</v>
      </c>
      <c r="AX21" s="26">
        <f t="shared" si="59"/>
        <v>0.16666666666666663</v>
      </c>
      <c r="AY21" s="155">
        <f t="shared" si="59"/>
        <v>0.59259259259259256</v>
      </c>
      <c r="AZ21" s="26">
        <f t="shared" si="59"/>
        <v>0</v>
      </c>
      <c r="BA21" s="26">
        <f t="shared" si="59"/>
        <v>0.4</v>
      </c>
      <c r="BB21" s="26">
        <f t="shared" si="59"/>
        <v>0</v>
      </c>
      <c r="BC21" s="26">
        <f t="shared" si="59"/>
        <v>0.5</v>
      </c>
      <c r="BD21" s="155">
        <f t="shared" si="59"/>
        <v>0.19999999999999996</v>
      </c>
      <c r="BE21" s="26">
        <f t="shared" si="59"/>
        <v>0.5</v>
      </c>
      <c r="BF21" s="26">
        <f t="shared" si="59"/>
        <v>0.5</v>
      </c>
      <c r="BG21" s="26">
        <f t="shared" si="59"/>
        <v>0</v>
      </c>
      <c r="BH21" s="26">
        <f t="shared" si="59"/>
        <v>0.33333333333333337</v>
      </c>
      <c r="BI21" s="26">
        <f t="shared" si="59"/>
        <v>0.5</v>
      </c>
      <c r="BJ21" s="155">
        <f t="shared" si="59"/>
        <v>0.44444444444444442</v>
      </c>
      <c r="BK21" s="26">
        <f t="shared" si="59"/>
        <v>0.5</v>
      </c>
      <c r="BL21" s="26">
        <f t="shared" si="59"/>
        <v>0.66666666666666674</v>
      </c>
      <c r="BM21" s="26">
        <f t="shared" si="59"/>
        <v>0.5</v>
      </c>
      <c r="BN21" s="26">
        <f t="shared" si="59"/>
        <v>0</v>
      </c>
      <c r="BO21" s="355">
        <f t="shared" si="59"/>
        <v>0.55555555555555558</v>
      </c>
      <c r="BP21" s="355">
        <f t="shared" si="59"/>
        <v>0.8</v>
      </c>
      <c r="BQ21" s="355">
        <f t="shared" ref="BQ21:BR21" si="60">IF(IFERROR(1-BQ11/BQ16,0)&lt;0,0,IFERROR(1-BQ11/BQ16,0))</f>
        <v>0.16666666666666663</v>
      </c>
      <c r="BR21" s="355">
        <f t="shared" si="60"/>
        <v>0.5</v>
      </c>
      <c r="BS21" s="355">
        <f t="shared" ref="BS21:BT21" si="61">IF(IFERROR(1-BS11/BS16,0)&lt;0,0,IFERROR(1-BS11/BS16,0))</f>
        <v>0</v>
      </c>
      <c r="BT21" s="355">
        <f t="shared" si="61"/>
        <v>0.41666666666666663</v>
      </c>
      <c r="BU21" s="155">
        <f t="shared" ref="BU21:BV21" si="62">IF(IFERROR(1-BU11/BU16,0)&lt;0,0,IFERROR(1-BU11/BU16,0))</f>
        <v>0</v>
      </c>
      <c r="BV21" s="155">
        <f t="shared" si="62"/>
        <v>0.5</v>
      </c>
      <c r="BW21" s="155">
        <f t="shared" ref="BW21:BY21" si="63">IF(IFERROR(1-BW11/BW16,0)&lt;0,0,IFERROR(1-BW11/BW16,0))</f>
        <v>0.66666666666666674</v>
      </c>
      <c r="BX21" s="155">
        <f t="shared" si="63"/>
        <v>0</v>
      </c>
      <c r="BY21" s="355">
        <f t="shared" si="63"/>
        <v>0.33333333333333337</v>
      </c>
      <c r="BZ21" s="155">
        <f t="shared" ref="BZ21:CA21" si="64">IF(IFERROR(1-BZ11/BZ16,0)&lt;0,0,IFERROR(1-BZ11/BZ16,0))</f>
        <v>1</v>
      </c>
      <c r="CA21" s="155">
        <f t="shared" si="64"/>
        <v>1</v>
      </c>
      <c r="CB21" s="155">
        <f t="shared" ref="CB21:CC21" si="65">IF(IFERROR(1-CB11/CB16,0)&lt;0,0,IFERROR(1-CB11/CB16,0))</f>
        <v>0.16666666666666663</v>
      </c>
      <c r="CC21" s="155">
        <f t="shared" si="65"/>
        <v>0.4</v>
      </c>
      <c r="CD21" s="155">
        <f t="shared" ref="CD21:CE21" si="66">IF(IFERROR(1-CD11/CD16,0)&lt;0,0,IFERROR(1-CD11/CD16,0))</f>
        <v>0.8</v>
      </c>
      <c r="CE21" s="355">
        <f t="shared" si="66"/>
        <v>0.60714285714285721</v>
      </c>
    </row>
    <row r="22" spans="1:83" s="26" customFormat="1">
      <c r="A22" s="52"/>
      <c r="B22" s="58" t="s">
        <v>245</v>
      </c>
      <c r="C22" s="26" t="s">
        <v>78</v>
      </c>
      <c r="D22" s="26">
        <f t="shared" ref="D22:E22" si="67">IF(IFERROR(1-D12/D17,0)&lt;0,0,IFERROR(1-D12/D17,0))</f>
        <v>0</v>
      </c>
      <c r="E22" s="26">
        <f t="shared" si="67"/>
        <v>0.5</v>
      </c>
      <c r="F22" s="26">
        <f t="shared" ref="F22:G22" si="68">IF(IFERROR(1-F12/F17,0)&lt;0,0,IFERROR(1-F12/F17,0))</f>
        <v>1</v>
      </c>
      <c r="G22" s="26">
        <f t="shared" si="68"/>
        <v>0.25</v>
      </c>
      <c r="H22" s="155">
        <f t="shared" ref="H22" si="69">IF(IFERROR(1-H12/H17,0)&lt;0,0,IFERROR(1-H12/H17,0))</f>
        <v>0.4285714285714286</v>
      </c>
      <c r="I22" s="26">
        <f t="shared" ref="I22:J22" si="70">IF(IFERROR(1-I12/I17,0)&lt;0,0,IFERROR(1-I12/I17,0))</f>
        <v>1</v>
      </c>
      <c r="J22" s="26">
        <f t="shared" si="70"/>
        <v>0</v>
      </c>
      <c r="K22" s="26">
        <f t="shared" ref="K22:L22" si="71">IF(IFERROR(1-K12/K17,0)&lt;0,0,IFERROR(1-K12/K17,0))</f>
        <v>0.85714285714285721</v>
      </c>
      <c r="L22" s="26">
        <f t="shared" si="71"/>
        <v>0</v>
      </c>
      <c r="M22" s="155">
        <f t="shared" si="25"/>
        <v>0.5</v>
      </c>
      <c r="N22" s="26">
        <f t="shared" si="25"/>
        <v>0.16666666666666663</v>
      </c>
      <c r="O22" s="26">
        <f t="shared" ref="O22" si="72">IF(IFERROR(1-O12/O17,0)&lt;0,0,IFERROR(1-O12/O17,0))</f>
        <v>0</v>
      </c>
      <c r="P22" s="26">
        <f t="shared" si="27"/>
        <v>0.33333333333333337</v>
      </c>
      <c r="Q22" s="26">
        <f t="shared" si="27"/>
        <v>1</v>
      </c>
      <c r="R22" s="26">
        <f t="shared" ref="R22:T22" si="73">IF(IFERROR(1-R12/R17,0)&lt;0,0,IFERROR(1-R12/R17,0))</f>
        <v>0</v>
      </c>
      <c r="S22" s="155">
        <f t="shared" si="73"/>
        <v>0.27272727272727271</v>
      </c>
      <c r="T22" s="26">
        <f t="shared" si="73"/>
        <v>0.995</v>
      </c>
      <c r="U22" s="26">
        <f t="shared" ref="U22:V22" si="74">IF(IFERROR(1-U12/U17,0)&lt;0,0,IFERROR(1-U12/U17,0))</f>
        <v>0</v>
      </c>
      <c r="V22" s="26">
        <f t="shared" si="74"/>
        <v>0</v>
      </c>
      <c r="W22" s="26">
        <f t="shared" ref="W22:X22" si="75">IF(IFERROR(1-W12/W17,0)&lt;0,0,IFERROR(1-W12/W17,0))</f>
        <v>1</v>
      </c>
      <c r="X22" s="155">
        <f t="shared" si="75"/>
        <v>0.44444444444444442</v>
      </c>
      <c r="Y22" s="26">
        <f t="shared" ref="Y22:Z22" si="76">IF(IFERROR(1-Y12/Y17,0)&lt;0,0,IFERROR(1-Y12/Y17,0))</f>
        <v>0.5</v>
      </c>
      <c r="Z22" s="26">
        <f t="shared" si="76"/>
        <v>0.5</v>
      </c>
      <c r="AA22" s="26">
        <f t="shared" ref="AA22:AC22" si="77">IF(IFERROR(1-AA12/AA17,0)&lt;0,0,IFERROR(1-AA12/AA17,0))</f>
        <v>0</v>
      </c>
      <c r="AB22" s="26">
        <f t="shared" si="77"/>
        <v>0.8</v>
      </c>
      <c r="AC22" s="155">
        <f t="shared" si="77"/>
        <v>0.3529411764705882</v>
      </c>
      <c r="AD22" s="26">
        <f t="shared" ref="AD22" si="78">IF(IFERROR(1-AD12/AD17,0)&lt;0,0,IFERROR(1-AD12/AD17,0))</f>
        <v>0.5</v>
      </c>
      <c r="AE22" s="26">
        <f t="shared" si="34"/>
        <v>0.83333333333333337</v>
      </c>
      <c r="AF22" s="26">
        <f t="shared" si="34"/>
        <v>0</v>
      </c>
      <c r="AG22" s="26">
        <f t="shared" si="34"/>
        <v>0.6</v>
      </c>
      <c r="AH22" s="26">
        <f t="shared" si="34"/>
        <v>0</v>
      </c>
      <c r="AI22" s="155">
        <f t="shared" ref="AI22" si="79">IF(IFERROR(1-AI12/AI17,0)&lt;0,0,IFERROR(1-AI12/AI17,0))</f>
        <v>0.5</v>
      </c>
      <c r="AJ22" s="26">
        <f t="shared" si="36"/>
        <v>0</v>
      </c>
      <c r="AK22" s="26">
        <f t="shared" si="36"/>
        <v>0.5</v>
      </c>
      <c r="AL22" s="26">
        <f t="shared" si="36"/>
        <v>0</v>
      </c>
      <c r="AM22" s="26">
        <f t="shared" si="36"/>
        <v>0</v>
      </c>
      <c r="AN22" s="155">
        <f t="shared" si="37"/>
        <v>0.41666666666666663</v>
      </c>
      <c r="AO22" s="26">
        <f t="shared" ref="AO22:BP22" si="80">IF(IFERROR(1-AO12/AO17,0)&lt;0,0,IFERROR(1-AO12/AO17,0))</f>
        <v>1</v>
      </c>
      <c r="AP22" s="26">
        <f t="shared" si="80"/>
        <v>0</v>
      </c>
      <c r="AQ22" s="26">
        <f t="shared" si="80"/>
        <v>0</v>
      </c>
      <c r="AR22" s="26">
        <f t="shared" si="80"/>
        <v>0</v>
      </c>
      <c r="AS22" s="155">
        <f t="shared" si="80"/>
        <v>0.6</v>
      </c>
      <c r="AT22" s="26">
        <f t="shared" si="80"/>
        <v>0.5</v>
      </c>
      <c r="AU22" s="26">
        <f t="shared" si="80"/>
        <v>0.33333333333333337</v>
      </c>
      <c r="AV22" s="26">
        <f t="shared" si="80"/>
        <v>0.5</v>
      </c>
      <c r="AW22" s="26">
        <f t="shared" si="80"/>
        <v>0</v>
      </c>
      <c r="AX22" s="26">
        <f t="shared" si="80"/>
        <v>0.5</v>
      </c>
      <c r="AY22" s="155">
        <f t="shared" si="80"/>
        <v>0.2857142857142857</v>
      </c>
      <c r="AZ22" s="26">
        <f t="shared" si="80"/>
        <v>0</v>
      </c>
      <c r="BA22" s="26">
        <f t="shared" si="80"/>
        <v>1</v>
      </c>
      <c r="BB22" s="26">
        <f t="shared" si="80"/>
        <v>0.6</v>
      </c>
      <c r="BC22" s="26">
        <f t="shared" si="80"/>
        <v>0.5714285714285714</v>
      </c>
      <c r="BD22" s="155">
        <f t="shared" si="80"/>
        <v>0.6875</v>
      </c>
      <c r="BE22" s="26">
        <f t="shared" si="80"/>
        <v>1</v>
      </c>
      <c r="BF22" s="26">
        <f t="shared" si="80"/>
        <v>0</v>
      </c>
      <c r="BG22" s="26">
        <f t="shared" si="80"/>
        <v>1</v>
      </c>
      <c r="BH22" s="26">
        <f t="shared" si="80"/>
        <v>0</v>
      </c>
      <c r="BI22" s="26">
        <f t="shared" si="80"/>
        <v>0.33333333333333337</v>
      </c>
      <c r="BJ22" s="155">
        <f t="shared" si="80"/>
        <v>1</v>
      </c>
      <c r="BK22" s="26">
        <f t="shared" si="80"/>
        <v>1</v>
      </c>
      <c r="BL22" s="26">
        <f t="shared" si="80"/>
        <v>0</v>
      </c>
      <c r="BM22" s="26">
        <f t="shared" si="80"/>
        <v>0.5</v>
      </c>
      <c r="BN22" s="26">
        <f t="shared" si="80"/>
        <v>0</v>
      </c>
      <c r="BO22" s="355">
        <f t="shared" si="80"/>
        <v>0.5</v>
      </c>
      <c r="BP22" s="355">
        <f t="shared" si="80"/>
        <v>0</v>
      </c>
      <c r="BQ22" s="355">
        <f t="shared" ref="BQ22:BR22" si="81">IF(IFERROR(1-BQ12/BQ17,0)&lt;0,0,IFERROR(1-BQ12/BQ17,0))</f>
        <v>1</v>
      </c>
      <c r="BR22" s="355">
        <f t="shared" si="81"/>
        <v>0</v>
      </c>
      <c r="BS22" s="355">
        <f t="shared" ref="BS22:BT22" si="82">IF(IFERROR(1-BS12/BS17,0)&lt;0,0,IFERROR(1-BS12/BS17,0))</f>
        <v>0.5</v>
      </c>
      <c r="BT22" s="355">
        <f t="shared" si="82"/>
        <v>0.4</v>
      </c>
      <c r="BU22" s="155">
        <f t="shared" ref="BU22:BV22" si="83">IF(IFERROR(1-BU12/BU17,0)&lt;0,0,IFERROR(1-BU12/BU17,0))</f>
        <v>1</v>
      </c>
      <c r="BV22" s="155">
        <f t="shared" si="83"/>
        <v>0</v>
      </c>
      <c r="BW22" s="155">
        <f t="shared" ref="BW22:BY22" si="84">IF(IFERROR(1-BW12/BW17,0)&lt;0,0,IFERROR(1-BW12/BW17,0))</f>
        <v>0.66666666666666674</v>
      </c>
      <c r="BX22" s="155">
        <f t="shared" si="84"/>
        <v>0.8</v>
      </c>
      <c r="BY22" s="355">
        <f t="shared" si="84"/>
        <v>0.75</v>
      </c>
      <c r="BZ22" s="155">
        <f t="shared" ref="BZ22:CA22" si="85">IF(IFERROR(1-BZ12/BZ17,0)&lt;0,0,IFERROR(1-BZ12/BZ17,0))</f>
        <v>0.5</v>
      </c>
      <c r="CA22" s="155">
        <f t="shared" si="85"/>
        <v>1</v>
      </c>
      <c r="CB22" s="155">
        <f t="shared" ref="CB22:CC22" si="86">IF(IFERROR(1-CB12/CB17,0)&lt;0,0,IFERROR(1-CB12/CB17,0))</f>
        <v>0</v>
      </c>
      <c r="CC22" s="155">
        <f t="shared" si="86"/>
        <v>0.5</v>
      </c>
      <c r="CD22" s="155">
        <f t="shared" ref="CD22:CE22" si="87">IF(IFERROR(1-CD12/CD17,0)&lt;0,0,IFERROR(1-CD12/CD17,0))</f>
        <v>0</v>
      </c>
      <c r="CE22" s="355">
        <f t="shared" si="87"/>
        <v>0.5</v>
      </c>
    </row>
    <row r="23" spans="1:83" s="26" customFormat="1">
      <c r="A23" s="52"/>
      <c r="B23" s="58" t="s">
        <v>245</v>
      </c>
      <c r="C23" s="26" t="s">
        <v>89</v>
      </c>
      <c r="D23" s="26">
        <f t="shared" ref="D23:O23" si="88">IF(IFERROR(1-D13/D18,0)&lt;0,0,IFERROR(1-D13/D18,0))</f>
        <v>0.19999999999999996</v>
      </c>
      <c r="E23" s="26">
        <f t="shared" si="88"/>
        <v>0</v>
      </c>
      <c r="F23" s="26">
        <f t="shared" si="88"/>
        <v>0</v>
      </c>
      <c r="G23" s="26">
        <f t="shared" si="88"/>
        <v>0.1428571428571429</v>
      </c>
      <c r="H23" s="155">
        <f t="shared" si="88"/>
        <v>0</v>
      </c>
      <c r="I23" s="26">
        <f t="shared" si="88"/>
        <v>0</v>
      </c>
      <c r="J23" s="26">
        <f t="shared" si="88"/>
        <v>0</v>
      </c>
      <c r="K23" s="26">
        <f t="shared" si="88"/>
        <v>0.16666666666666663</v>
      </c>
      <c r="L23" s="26">
        <f t="shared" si="88"/>
        <v>0.4</v>
      </c>
      <c r="M23" s="155">
        <f t="shared" si="88"/>
        <v>0.16666666666666663</v>
      </c>
      <c r="N23" s="26">
        <f t="shared" si="88"/>
        <v>0</v>
      </c>
      <c r="O23" s="26">
        <f t="shared" si="88"/>
        <v>0.2857142857142857</v>
      </c>
      <c r="P23" s="26">
        <f t="shared" si="27"/>
        <v>0.18181818181818177</v>
      </c>
      <c r="Q23" s="26">
        <f t="shared" si="27"/>
        <v>0.16666666666666663</v>
      </c>
      <c r="R23" s="26">
        <f t="shared" ref="R23:T23" si="89">IF(IFERROR(1-R13/R18,0)&lt;0,0,IFERROR(1-R13/R18,0))</f>
        <v>9.9999999999999978E-2</v>
      </c>
      <c r="S23" s="155">
        <f t="shared" si="89"/>
        <v>0.13513513513513509</v>
      </c>
      <c r="T23" s="26">
        <f t="shared" si="89"/>
        <v>0</v>
      </c>
      <c r="U23" s="26">
        <f t="shared" ref="U23:V23" si="90">IF(IFERROR(1-U13/U18,0)&lt;0,0,IFERROR(1-U13/U18,0))</f>
        <v>0</v>
      </c>
      <c r="V23" s="26">
        <f t="shared" si="90"/>
        <v>0</v>
      </c>
      <c r="W23" s="26">
        <f t="shared" ref="W23:X23" si="91">IF(IFERROR(1-W13/W18,0)&lt;0,0,IFERROR(1-W13/W18,0))</f>
        <v>0</v>
      </c>
      <c r="X23" s="155">
        <f t="shared" si="91"/>
        <v>8.333333333333337E-2</v>
      </c>
      <c r="Y23" s="26">
        <f t="shared" ref="Y23:Z23" si="92">IF(IFERROR(1-Y13/Y18,0)&lt;0,0,IFERROR(1-Y13/Y18,0))</f>
        <v>0</v>
      </c>
      <c r="Z23" s="26">
        <f t="shared" si="92"/>
        <v>0.4</v>
      </c>
      <c r="AA23" s="26">
        <f t="shared" ref="AA23:AC23" si="93">IF(IFERROR(1-AA13/AA18,0)&lt;0,0,IFERROR(1-AA13/AA18,0))</f>
        <v>0.44444444444444442</v>
      </c>
      <c r="AB23" s="26">
        <f t="shared" si="93"/>
        <v>0</v>
      </c>
      <c r="AC23" s="155">
        <f t="shared" si="93"/>
        <v>8.6956521739130488E-2</v>
      </c>
      <c r="AD23" s="26">
        <f t="shared" ref="AD23" si="94">IF(IFERROR(1-AD13/AD18,0)&lt;0,0,IFERROR(1-AD13/AD18,0))</f>
        <v>0.5</v>
      </c>
      <c r="AE23" s="26">
        <f t="shared" si="34"/>
        <v>9.0909090909090939E-2</v>
      </c>
      <c r="AF23" s="26">
        <f t="shared" si="34"/>
        <v>0.4</v>
      </c>
      <c r="AG23" s="26">
        <f t="shared" si="34"/>
        <v>0.33333333333333337</v>
      </c>
      <c r="AH23" s="26">
        <f t="shared" si="34"/>
        <v>0.38461538461538458</v>
      </c>
      <c r="AI23" s="155">
        <f t="shared" ref="AI23" si="95">IF(IFERROR(1-AI13/AI18,0)&lt;0,0,IFERROR(1-AI13/AI18,0))</f>
        <v>0.29268292682926833</v>
      </c>
      <c r="AJ23" s="26">
        <f t="shared" si="36"/>
        <v>0.375</v>
      </c>
      <c r="AK23" s="26">
        <f t="shared" si="36"/>
        <v>0.5</v>
      </c>
      <c r="AL23" s="26">
        <f t="shared" si="36"/>
        <v>0.125</v>
      </c>
      <c r="AM23" s="26">
        <f t="shared" si="36"/>
        <v>0.19999999999999996</v>
      </c>
      <c r="AN23" s="155">
        <f t="shared" si="37"/>
        <v>0.33333333333333337</v>
      </c>
      <c r="AO23" s="26">
        <f t="shared" ref="AO23:BP23" si="96">IF(IFERROR(1-AO13/AO18,0)&lt;0,0,IFERROR(1-AO13/AO18,0))</f>
        <v>0.33333333333333337</v>
      </c>
      <c r="AP23" s="26">
        <f t="shared" si="96"/>
        <v>0.33333333333333337</v>
      </c>
      <c r="AQ23" s="26">
        <f t="shared" si="96"/>
        <v>0.125</v>
      </c>
      <c r="AR23" s="26">
        <f t="shared" si="96"/>
        <v>0.5</v>
      </c>
      <c r="AS23" s="155">
        <f t="shared" si="96"/>
        <v>0.44827586206896552</v>
      </c>
      <c r="AT23" s="26">
        <f t="shared" si="96"/>
        <v>0.75</v>
      </c>
      <c r="AU23" s="26">
        <f t="shared" si="96"/>
        <v>0</v>
      </c>
      <c r="AV23" s="26">
        <f t="shared" si="96"/>
        <v>0.1428571428571429</v>
      </c>
      <c r="AW23" s="26">
        <f t="shared" si="96"/>
        <v>0.16666666666666663</v>
      </c>
      <c r="AX23" s="26">
        <f t="shared" si="96"/>
        <v>0.4</v>
      </c>
      <c r="AY23" s="155">
        <f t="shared" si="96"/>
        <v>0.18421052631578949</v>
      </c>
      <c r="AZ23" s="26">
        <f t="shared" si="96"/>
        <v>0.4</v>
      </c>
      <c r="BA23" s="26">
        <f t="shared" si="96"/>
        <v>0.375</v>
      </c>
      <c r="BB23" s="26">
        <f t="shared" si="96"/>
        <v>0.1428571428571429</v>
      </c>
      <c r="BC23" s="26">
        <f t="shared" si="96"/>
        <v>0</v>
      </c>
      <c r="BD23" s="155">
        <f t="shared" si="96"/>
        <v>0.26666666666666672</v>
      </c>
      <c r="BE23" s="26">
        <f t="shared" si="96"/>
        <v>0.45454545454545459</v>
      </c>
      <c r="BF23" s="26">
        <f t="shared" si="96"/>
        <v>8.333333333333337E-2</v>
      </c>
      <c r="BG23" s="26">
        <f t="shared" si="96"/>
        <v>0.64285714285714279</v>
      </c>
      <c r="BH23" s="26">
        <f t="shared" si="96"/>
        <v>0</v>
      </c>
      <c r="BI23" s="26">
        <f t="shared" si="96"/>
        <v>0.33333333333333337</v>
      </c>
      <c r="BJ23" s="155">
        <f t="shared" si="96"/>
        <v>0.40384615384615385</v>
      </c>
      <c r="BK23" s="26">
        <f t="shared" si="96"/>
        <v>0.41666666666666663</v>
      </c>
      <c r="BL23" s="26">
        <f t="shared" si="96"/>
        <v>0.55555555555555558</v>
      </c>
      <c r="BM23" s="26">
        <f t="shared" si="96"/>
        <v>0.16666666666666663</v>
      </c>
      <c r="BN23" s="26">
        <f t="shared" si="96"/>
        <v>0</v>
      </c>
      <c r="BO23" s="355">
        <f t="shared" si="96"/>
        <v>0.29166666666666663</v>
      </c>
      <c r="BP23" s="355">
        <f t="shared" si="96"/>
        <v>0</v>
      </c>
      <c r="BQ23" s="355">
        <f t="shared" ref="BQ23:BR23" si="97">IF(IFERROR(1-BQ13/BQ18,0)&lt;0,0,IFERROR(1-BQ13/BQ18,0))</f>
        <v>0.25</v>
      </c>
      <c r="BR23" s="355">
        <f t="shared" si="97"/>
        <v>0</v>
      </c>
      <c r="BS23" s="355">
        <f t="shared" ref="BS23:BT23" si="98">IF(IFERROR(1-BS13/BS18,0)&lt;0,0,IFERROR(1-BS13/BS18,0))</f>
        <v>0.5</v>
      </c>
      <c r="BT23" s="355">
        <f t="shared" si="98"/>
        <v>0.34285714285714286</v>
      </c>
      <c r="BU23" s="155">
        <f t="shared" ref="BU23:BV23" si="99">IF(IFERROR(1-BU13/BU18,0)&lt;0,0,IFERROR(1-BU13/BU18,0))</f>
        <v>0</v>
      </c>
      <c r="BV23" s="155">
        <f t="shared" si="99"/>
        <v>1</v>
      </c>
      <c r="BW23" s="155">
        <f t="shared" ref="BW23:BY23" si="100">IF(IFERROR(1-BW13/BW18,0)&lt;0,0,IFERROR(1-BW13/BW18,0))</f>
        <v>0</v>
      </c>
      <c r="BX23" s="155">
        <f t="shared" si="100"/>
        <v>0.2857142857142857</v>
      </c>
      <c r="BY23" s="355">
        <f t="shared" si="100"/>
        <v>0.43243243243243246</v>
      </c>
      <c r="BZ23" s="155">
        <f t="shared" ref="BZ23:CA23" si="101">IF(IFERROR(1-BZ13/BZ18,0)&lt;0,0,IFERROR(1-BZ13/BZ18,0))</f>
        <v>0.5714285714285714</v>
      </c>
      <c r="CA23" s="155">
        <f t="shared" si="101"/>
        <v>0.5</v>
      </c>
      <c r="CB23" s="155">
        <f t="shared" ref="CB23:CC23" si="102">IF(IFERROR(1-CB13/CB18,0)&lt;0,0,IFERROR(1-CB13/CB18,0))</f>
        <v>0.2857142857142857</v>
      </c>
      <c r="CC23" s="155">
        <f t="shared" si="102"/>
        <v>0.63636363636363635</v>
      </c>
      <c r="CD23" s="155">
        <f t="shared" ref="CD23:CE23" si="103">IF(IFERROR(1-CD13/CD18,0)&lt;0,0,IFERROR(1-CD13/CD18,0))</f>
        <v>0.125</v>
      </c>
      <c r="CE23" s="355">
        <f t="shared" si="103"/>
        <v>0.47499999999999998</v>
      </c>
    </row>
    <row r="24" spans="1:83" s="11" customFormat="1">
      <c r="A24" s="50" t="s">
        <v>96</v>
      </c>
      <c r="B24" s="54" t="s">
        <v>2</v>
      </c>
      <c r="H24" s="153"/>
      <c r="M24" s="153"/>
      <c r="S24" s="153"/>
      <c r="X24" s="153"/>
      <c r="AC24" s="153"/>
      <c r="AI24" s="153"/>
      <c r="AN24" s="153"/>
      <c r="AS24" s="153"/>
      <c r="AY24" s="153"/>
      <c r="BD24" s="153"/>
      <c r="BJ24" s="153"/>
      <c r="BO24" s="341"/>
      <c r="BP24" s="341"/>
      <c r="BQ24" s="341"/>
      <c r="BR24" s="341"/>
      <c r="BS24" s="341"/>
      <c r="BT24" s="341"/>
      <c r="BU24" s="153"/>
      <c r="BV24" s="153"/>
      <c r="BW24" s="153"/>
      <c r="BX24" s="153"/>
      <c r="BY24" s="341"/>
      <c r="BZ24" s="153"/>
      <c r="CA24" s="153"/>
      <c r="CB24" s="153"/>
      <c r="CC24" s="153"/>
      <c r="CD24" s="153"/>
      <c r="CE24" s="341"/>
    </row>
    <row r="25" spans="1:83">
      <c r="C25" t="s">
        <v>76</v>
      </c>
      <c r="D25">
        <f t="shared" ref="D25:G28" si="104">D30+D35</f>
        <v>0</v>
      </c>
      <c r="E25">
        <f t="shared" si="104"/>
        <v>1</v>
      </c>
      <c r="F25">
        <f t="shared" si="104"/>
        <v>2</v>
      </c>
      <c r="G25">
        <f t="shared" si="104"/>
        <v>0</v>
      </c>
      <c r="H25" s="154">
        <f>SUM(D25:G25)</f>
        <v>3</v>
      </c>
      <c r="I25">
        <f t="shared" ref="I25:L28" si="105">I30+I35</f>
        <v>1</v>
      </c>
      <c r="J25">
        <f t="shared" si="105"/>
        <v>0</v>
      </c>
      <c r="K25">
        <f t="shared" si="105"/>
        <v>2</v>
      </c>
      <c r="L25">
        <f t="shared" si="105"/>
        <v>2</v>
      </c>
      <c r="M25" s="154">
        <f>SUM(I25:L25)</f>
        <v>5</v>
      </c>
      <c r="N25" s="29">
        <f>'Company Scorecard'!U45</f>
        <v>0</v>
      </c>
      <c r="O25" s="29">
        <f>'Company Scorecard'!V45</f>
        <v>0</v>
      </c>
      <c r="P25" s="29">
        <f>'Company Scorecard'!W45</f>
        <v>1</v>
      </c>
      <c r="Q25" s="29">
        <f>'Company Scorecard'!X45</f>
        <v>2</v>
      </c>
      <c r="R25" s="29">
        <f>'Company Scorecard'!Y45</f>
        <v>1</v>
      </c>
      <c r="S25" s="156">
        <f>SUM(N25:R25)</f>
        <v>4</v>
      </c>
      <c r="T25" s="29">
        <f>T30+T35</f>
        <v>0</v>
      </c>
      <c r="U25" s="211">
        <f t="shared" ref="U25:W25" si="106">U30+U35</f>
        <v>5</v>
      </c>
      <c r="V25" s="29">
        <f t="shared" si="106"/>
        <v>1</v>
      </c>
      <c r="W25" s="29">
        <f t="shared" si="106"/>
        <v>1</v>
      </c>
      <c r="X25" s="212">
        <f>SUM(T25:W25)</f>
        <v>7</v>
      </c>
      <c r="Y25" s="29">
        <f t="shared" ref="Y25:Z25" si="107">Y30+Y35</f>
        <v>2</v>
      </c>
      <c r="Z25" s="29">
        <f t="shared" si="107"/>
        <v>0</v>
      </c>
      <c r="AA25" s="29">
        <f t="shared" ref="AA25:AB25" si="108">AA30+AA35</f>
        <v>4</v>
      </c>
      <c r="AB25" s="29">
        <f t="shared" si="108"/>
        <v>2</v>
      </c>
      <c r="AC25" s="156">
        <f>SUM(Y25:AB25)</f>
        <v>8</v>
      </c>
      <c r="AD25" s="29">
        <f t="shared" ref="AD25" si="109">AD30+AD35</f>
        <v>2</v>
      </c>
      <c r="AE25" s="29">
        <f t="shared" ref="AE25:AH28" si="110">AE30+AE35</f>
        <v>1</v>
      </c>
      <c r="AF25" s="29">
        <f t="shared" si="110"/>
        <v>1</v>
      </c>
      <c r="AG25" s="29">
        <f t="shared" si="110"/>
        <v>2</v>
      </c>
      <c r="AH25" s="29">
        <f t="shared" si="110"/>
        <v>1</v>
      </c>
      <c r="AI25" s="156">
        <f>SUM(AE25:AH25)</f>
        <v>5</v>
      </c>
      <c r="AJ25" s="29">
        <f t="shared" ref="AJ25:AM28" si="111">AJ30+AJ35</f>
        <v>0</v>
      </c>
      <c r="AK25" s="29">
        <f t="shared" si="111"/>
        <v>2</v>
      </c>
      <c r="AL25" s="29">
        <f t="shared" si="111"/>
        <v>1</v>
      </c>
      <c r="AM25" s="29">
        <f t="shared" si="111"/>
        <v>0</v>
      </c>
      <c r="AN25" s="156">
        <f>SUM(AJ25:AM25)</f>
        <v>3</v>
      </c>
      <c r="AO25" s="29">
        <f t="shared" ref="AO25:AR28" si="112">AO30+AO35</f>
        <v>2</v>
      </c>
      <c r="AP25" s="29">
        <f t="shared" si="112"/>
        <v>2</v>
      </c>
      <c r="AQ25" s="29">
        <f t="shared" si="112"/>
        <v>2</v>
      </c>
      <c r="AR25" s="29">
        <f t="shared" si="112"/>
        <v>1</v>
      </c>
      <c r="AS25" s="156">
        <v>9</v>
      </c>
      <c r="AT25" s="29">
        <f t="shared" ref="AT25:BP25" si="113">AT30+AT35</f>
        <v>2</v>
      </c>
      <c r="AU25" s="29">
        <f t="shared" si="113"/>
        <v>1</v>
      </c>
      <c r="AV25" s="29">
        <f t="shared" si="113"/>
        <v>1</v>
      </c>
      <c r="AW25" s="29">
        <f t="shared" si="113"/>
        <v>1</v>
      </c>
      <c r="AX25" s="29">
        <f t="shared" si="113"/>
        <v>2</v>
      </c>
      <c r="AY25" s="156">
        <f t="shared" si="113"/>
        <v>6</v>
      </c>
      <c r="AZ25" s="29">
        <f t="shared" si="113"/>
        <v>1</v>
      </c>
      <c r="BA25" s="29">
        <f t="shared" si="113"/>
        <v>0</v>
      </c>
      <c r="BB25" s="29">
        <f t="shared" si="113"/>
        <v>3</v>
      </c>
      <c r="BC25" s="29">
        <f t="shared" si="113"/>
        <v>0</v>
      </c>
      <c r="BD25" s="156">
        <f t="shared" si="113"/>
        <v>5</v>
      </c>
      <c r="BE25" s="29">
        <f t="shared" si="113"/>
        <v>1</v>
      </c>
      <c r="BF25" s="29">
        <f t="shared" si="113"/>
        <v>2</v>
      </c>
      <c r="BG25" s="29">
        <f t="shared" si="113"/>
        <v>1</v>
      </c>
      <c r="BH25" s="29">
        <f t="shared" si="113"/>
        <v>1</v>
      </c>
      <c r="BI25" s="29">
        <f t="shared" si="113"/>
        <v>1</v>
      </c>
      <c r="BJ25" s="156">
        <f t="shared" si="113"/>
        <v>7</v>
      </c>
      <c r="BK25" s="29">
        <f t="shared" si="113"/>
        <v>0</v>
      </c>
      <c r="BL25" s="29">
        <f t="shared" si="113"/>
        <v>1</v>
      </c>
      <c r="BM25" s="29">
        <f t="shared" si="113"/>
        <v>0</v>
      </c>
      <c r="BN25" s="29">
        <f t="shared" si="113"/>
        <v>0</v>
      </c>
      <c r="BO25" s="346">
        <f t="shared" si="113"/>
        <v>3</v>
      </c>
      <c r="BP25" s="346">
        <f t="shared" si="113"/>
        <v>3</v>
      </c>
      <c r="BQ25" s="346">
        <f t="shared" ref="BQ25:BR25" si="114">BQ30+BQ35</f>
        <v>2</v>
      </c>
      <c r="BR25" s="346">
        <f t="shared" si="114"/>
        <v>1</v>
      </c>
      <c r="BS25" s="346">
        <f t="shared" ref="BS25:BT25" si="115">BS30+BS35</f>
        <v>4</v>
      </c>
      <c r="BT25" s="346">
        <f t="shared" si="115"/>
        <v>11</v>
      </c>
      <c r="BU25" s="156">
        <f t="shared" ref="BU25:BV25" si="116">BU30+BU35</f>
        <v>2</v>
      </c>
      <c r="BV25" s="156">
        <f t="shared" si="116"/>
        <v>3</v>
      </c>
      <c r="BW25" s="156">
        <f t="shared" ref="BW25:BY25" si="117">BW30+BW35</f>
        <v>0</v>
      </c>
      <c r="BX25" s="156">
        <f t="shared" si="117"/>
        <v>1</v>
      </c>
      <c r="BY25" s="346">
        <f t="shared" si="117"/>
        <v>10</v>
      </c>
      <c r="BZ25" s="156">
        <f t="shared" ref="BZ25:CA25" si="118">BZ30+BZ35</f>
        <v>0</v>
      </c>
      <c r="CA25" s="156">
        <f t="shared" si="118"/>
        <v>0</v>
      </c>
      <c r="CB25" s="156">
        <f t="shared" ref="CB25:CC25" si="119">CB30+CB35</f>
        <v>0</v>
      </c>
      <c r="CC25" s="156">
        <f t="shared" si="119"/>
        <v>0</v>
      </c>
      <c r="CD25" s="156">
        <f t="shared" ref="CD25" si="120">CD30+CD35</f>
        <v>1</v>
      </c>
      <c r="CE25" s="346">
        <f t="shared" ref="CD25:CE25" si="121">CE30+CE35</f>
        <v>10</v>
      </c>
    </row>
    <row r="26" spans="1:83">
      <c r="C26" t="s">
        <v>77</v>
      </c>
      <c r="D26">
        <f t="shared" si="104"/>
        <v>0</v>
      </c>
      <c r="E26">
        <f t="shared" si="104"/>
        <v>0</v>
      </c>
      <c r="F26">
        <f t="shared" si="104"/>
        <v>0</v>
      </c>
      <c r="G26">
        <f t="shared" si="104"/>
        <v>0</v>
      </c>
      <c r="H26" s="154">
        <f t="shared" ref="H26:H28" si="122">SUM(D26:G26)</f>
        <v>0</v>
      </c>
      <c r="I26">
        <f t="shared" si="105"/>
        <v>0</v>
      </c>
      <c r="J26">
        <f t="shared" si="105"/>
        <v>1</v>
      </c>
      <c r="K26">
        <f t="shared" si="105"/>
        <v>0</v>
      </c>
      <c r="L26">
        <f t="shared" si="105"/>
        <v>0</v>
      </c>
      <c r="M26" s="154">
        <f>SUM(I26:L26)</f>
        <v>1</v>
      </c>
      <c r="N26" s="29">
        <f>'Company Scorecard'!U46</f>
        <v>0</v>
      </c>
      <c r="O26" s="29">
        <f>'Company Scorecard'!V46</f>
        <v>1</v>
      </c>
      <c r="P26" s="29">
        <f>'Company Scorecard'!W46</f>
        <v>0</v>
      </c>
      <c r="Q26" s="29">
        <f>'Company Scorecard'!X46</f>
        <v>0</v>
      </c>
      <c r="R26" s="29">
        <f>'Company Scorecard'!Y46</f>
        <v>1</v>
      </c>
      <c r="S26" s="156">
        <f t="shared" ref="S26:S28" si="123">SUM(N26:R26)</f>
        <v>2</v>
      </c>
      <c r="T26" s="29">
        <f t="shared" ref="T26:W28" si="124">T31+T36</f>
        <v>1</v>
      </c>
      <c r="U26" s="29">
        <f t="shared" si="124"/>
        <v>0</v>
      </c>
      <c r="V26" s="29">
        <f t="shared" si="124"/>
        <v>0</v>
      </c>
      <c r="W26" s="29">
        <f t="shared" si="124"/>
        <v>0</v>
      </c>
      <c r="X26" s="156">
        <f t="shared" ref="X26:X28" si="125">SUM(T26:W26)</f>
        <v>1</v>
      </c>
      <c r="Y26" s="29">
        <f t="shared" ref="Y26:Z26" si="126">Y31+Y36</f>
        <v>0</v>
      </c>
      <c r="Z26" s="29">
        <f t="shared" si="126"/>
        <v>1</v>
      </c>
      <c r="AA26" s="29">
        <f t="shared" ref="AA26:AB26" si="127">AA31+AA36</f>
        <v>0</v>
      </c>
      <c r="AB26" s="29">
        <f t="shared" si="127"/>
        <v>0</v>
      </c>
      <c r="AC26" s="156">
        <f t="shared" ref="AC26:AC28" si="128">SUM(Y26:AB26)</f>
        <v>1</v>
      </c>
      <c r="AD26" s="29">
        <f t="shared" ref="AD26" si="129">AD31+AD36</f>
        <v>0</v>
      </c>
      <c r="AE26" s="29">
        <f t="shared" si="110"/>
        <v>0</v>
      </c>
      <c r="AF26" s="29">
        <f t="shared" si="110"/>
        <v>1</v>
      </c>
      <c r="AG26" s="29">
        <f t="shared" si="110"/>
        <v>1</v>
      </c>
      <c r="AH26" s="29">
        <f t="shared" si="110"/>
        <v>1</v>
      </c>
      <c r="AI26" s="156">
        <f>SUM(AE26:AH26)</f>
        <v>3</v>
      </c>
      <c r="AJ26" s="29">
        <f t="shared" si="111"/>
        <v>0</v>
      </c>
      <c r="AK26" s="29">
        <f t="shared" si="111"/>
        <v>0</v>
      </c>
      <c r="AL26" s="29">
        <f t="shared" si="111"/>
        <v>1</v>
      </c>
      <c r="AM26" s="29">
        <f t="shared" si="111"/>
        <v>1</v>
      </c>
      <c r="AN26" s="156">
        <f>SUM(AJ26:AM26)</f>
        <v>2</v>
      </c>
      <c r="AO26" s="29">
        <f t="shared" si="112"/>
        <v>0</v>
      </c>
      <c r="AP26" s="29">
        <f t="shared" si="112"/>
        <v>2</v>
      </c>
      <c r="AQ26" s="29">
        <f t="shared" si="112"/>
        <v>0</v>
      </c>
      <c r="AR26" s="29">
        <f t="shared" si="112"/>
        <v>0</v>
      </c>
      <c r="AS26" s="156">
        <v>2</v>
      </c>
      <c r="AT26" s="29">
        <f t="shared" ref="AT26:AX28" si="130">AT31+AT36</f>
        <v>0</v>
      </c>
      <c r="AU26" s="29">
        <f t="shared" si="130"/>
        <v>0</v>
      </c>
      <c r="AV26" s="29">
        <f t="shared" si="130"/>
        <v>1</v>
      </c>
      <c r="AW26" s="29">
        <f t="shared" si="130"/>
        <v>1</v>
      </c>
      <c r="AX26" s="29">
        <f t="shared" si="130"/>
        <v>0</v>
      </c>
      <c r="AY26" s="156">
        <f t="shared" ref="AY26:AY28" si="131">AY31+AY36</f>
        <v>2</v>
      </c>
      <c r="AZ26" s="29">
        <f t="shared" ref="AZ26:BC28" si="132">AZ31+AZ36</f>
        <v>1</v>
      </c>
      <c r="BA26" s="29">
        <f t="shared" si="132"/>
        <v>1</v>
      </c>
      <c r="BB26" s="29">
        <f t="shared" si="132"/>
        <v>0</v>
      </c>
      <c r="BC26" s="29">
        <f t="shared" si="132"/>
        <v>0</v>
      </c>
      <c r="BD26" s="156">
        <f t="shared" ref="BD26:BD28" si="133">BD31+BD36</f>
        <v>2</v>
      </c>
      <c r="BE26" s="29">
        <f t="shared" ref="BE26:BI28" si="134">BE31+BE36</f>
        <v>0</v>
      </c>
      <c r="BF26" s="29">
        <f t="shared" si="134"/>
        <v>0</v>
      </c>
      <c r="BG26" s="29">
        <f t="shared" si="134"/>
        <v>1</v>
      </c>
      <c r="BH26" s="29">
        <f t="shared" si="134"/>
        <v>0</v>
      </c>
      <c r="BI26" s="29">
        <f t="shared" si="134"/>
        <v>1</v>
      </c>
      <c r="BJ26" s="156">
        <f t="shared" ref="BJ26:BJ28" si="135">BJ31+BJ36</f>
        <v>1</v>
      </c>
      <c r="BK26" s="29">
        <f t="shared" ref="BK26:BN28" si="136">BK31+BK36</f>
        <v>0</v>
      </c>
      <c r="BL26" s="29">
        <f t="shared" si="136"/>
        <v>1</v>
      </c>
      <c r="BM26" s="29">
        <f t="shared" si="136"/>
        <v>1</v>
      </c>
      <c r="BN26" s="29">
        <f t="shared" si="136"/>
        <v>0</v>
      </c>
      <c r="BO26" s="346">
        <f t="shared" ref="BO26:BP28" si="137">BO31+BO36</f>
        <v>3</v>
      </c>
      <c r="BP26" s="346">
        <f t="shared" si="137"/>
        <v>0</v>
      </c>
      <c r="BQ26" s="346">
        <f t="shared" ref="BQ26:BR26" si="138">BQ31+BQ36</f>
        <v>1</v>
      </c>
      <c r="BR26" s="346">
        <f t="shared" si="138"/>
        <v>0</v>
      </c>
      <c r="BS26" s="346">
        <f t="shared" ref="BS26:BT26" si="139">BS31+BS36</f>
        <v>0</v>
      </c>
      <c r="BT26" s="346">
        <f t="shared" si="139"/>
        <v>1</v>
      </c>
      <c r="BU26" s="156">
        <f t="shared" ref="BU26:BV26" si="140">BU31+BU36</f>
        <v>1</v>
      </c>
      <c r="BV26" s="156">
        <f t="shared" si="140"/>
        <v>0</v>
      </c>
      <c r="BW26" s="156">
        <f t="shared" ref="BW26:BY26" si="141">BW31+BW36</f>
        <v>0</v>
      </c>
      <c r="BX26" s="156">
        <f t="shared" si="141"/>
        <v>0</v>
      </c>
      <c r="BY26" s="346">
        <f t="shared" si="141"/>
        <v>2</v>
      </c>
      <c r="BZ26" s="156">
        <f t="shared" ref="BZ26:CA26" si="142">BZ31+BZ36</f>
        <v>0</v>
      </c>
      <c r="CA26" s="156">
        <f t="shared" si="142"/>
        <v>0</v>
      </c>
      <c r="CB26" s="156">
        <f t="shared" ref="CB26:CC26" si="143">CB31+CB36</f>
        <v>0</v>
      </c>
      <c r="CC26" s="156">
        <f t="shared" si="143"/>
        <v>1</v>
      </c>
      <c r="CD26" s="156">
        <f t="shared" ref="CD26" si="144">CD31+CD36</f>
        <v>3</v>
      </c>
      <c r="CE26" s="346">
        <f t="shared" ref="CD26:CE26" si="145">CE31+CE36</f>
        <v>2</v>
      </c>
    </row>
    <row r="27" spans="1:83">
      <c r="C27" t="s">
        <v>78</v>
      </c>
      <c r="D27">
        <f t="shared" si="104"/>
        <v>1</v>
      </c>
      <c r="E27">
        <f t="shared" si="104"/>
        <v>0</v>
      </c>
      <c r="F27">
        <f t="shared" si="104"/>
        <v>0</v>
      </c>
      <c r="G27">
        <f t="shared" si="104"/>
        <v>0</v>
      </c>
      <c r="H27" s="154">
        <f t="shared" si="122"/>
        <v>1</v>
      </c>
      <c r="I27">
        <f t="shared" si="105"/>
        <v>0</v>
      </c>
      <c r="J27">
        <f t="shared" si="105"/>
        <v>1</v>
      </c>
      <c r="K27">
        <f t="shared" si="105"/>
        <v>1</v>
      </c>
      <c r="L27">
        <f t="shared" si="105"/>
        <v>0</v>
      </c>
      <c r="M27" s="154">
        <f>SUM(I27:L27)</f>
        <v>2</v>
      </c>
      <c r="N27" s="29">
        <f>'Company Scorecard'!U47</f>
        <v>0</v>
      </c>
      <c r="O27" s="29">
        <f>'Company Scorecard'!V47</f>
        <v>0</v>
      </c>
      <c r="P27" s="29">
        <f>'Company Scorecard'!W47</f>
        <v>0</v>
      </c>
      <c r="Q27" s="29">
        <f>'Company Scorecard'!X47</f>
        <v>0</v>
      </c>
      <c r="R27" s="29">
        <f>'Company Scorecard'!Y47</f>
        <v>0</v>
      </c>
      <c r="S27" s="156">
        <f t="shared" si="123"/>
        <v>0</v>
      </c>
      <c r="T27" s="29">
        <f t="shared" si="124"/>
        <v>0</v>
      </c>
      <c r="U27" s="29">
        <f t="shared" si="124"/>
        <v>0</v>
      </c>
      <c r="V27" s="29">
        <f t="shared" si="124"/>
        <v>0</v>
      </c>
      <c r="W27" s="29">
        <f t="shared" si="124"/>
        <v>0</v>
      </c>
      <c r="X27" s="156">
        <f t="shared" si="125"/>
        <v>0</v>
      </c>
      <c r="Y27" s="29">
        <f t="shared" ref="Y27:Z27" si="146">Y32+Y37</f>
        <v>0</v>
      </c>
      <c r="Z27" s="29">
        <f t="shared" si="146"/>
        <v>0</v>
      </c>
      <c r="AA27" s="29">
        <f t="shared" ref="AA27:AB27" si="147">AA32+AA37</f>
        <v>0</v>
      </c>
      <c r="AB27" s="29">
        <f t="shared" si="147"/>
        <v>1</v>
      </c>
      <c r="AC27" s="156">
        <f t="shared" si="128"/>
        <v>1</v>
      </c>
      <c r="AD27" s="29">
        <f t="shared" ref="AD27" si="148">AD32+AD37</f>
        <v>0</v>
      </c>
      <c r="AE27" s="29">
        <f t="shared" si="110"/>
        <v>0</v>
      </c>
      <c r="AF27" s="29">
        <f t="shared" si="110"/>
        <v>0</v>
      </c>
      <c r="AG27" s="29">
        <f t="shared" si="110"/>
        <v>0</v>
      </c>
      <c r="AH27" s="29">
        <f t="shared" si="110"/>
        <v>0</v>
      </c>
      <c r="AI27" s="156">
        <f>SUM(AE27:AH27)</f>
        <v>0</v>
      </c>
      <c r="AJ27" s="29">
        <f t="shared" si="111"/>
        <v>0</v>
      </c>
      <c r="AK27" s="29">
        <f t="shared" si="111"/>
        <v>1</v>
      </c>
      <c r="AL27" s="29">
        <f t="shared" si="111"/>
        <v>2</v>
      </c>
      <c r="AM27" s="29">
        <f t="shared" si="111"/>
        <v>0</v>
      </c>
      <c r="AN27" s="156">
        <f>SUM(AJ27:AM27)</f>
        <v>3</v>
      </c>
      <c r="AO27" s="29">
        <f t="shared" si="112"/>
        <v>0</v>
      </c>
      <c r="AP27" s="29">
        <f t="shared" si="112"/>
        <v>0</v>
      </c>
      <c r="AQ27" s="29">
        <f t="shared" si="112"/>
        <v>1</v>
      </c>
      <c r="AR27" s="29">
        <f t="shared" si="112"/>
        <v>0</v>
      </c>
      <c r="AS27" s="156">
        <v>2</v>
      </c>
      <c r="AT27" s="29">
        <f t="shared" si="130"/>
        <v>2</v>
      </c>
      <c r="AU27" s="29">
        <f t="shared" si="130"/>
        <v>2</v>
      </c>
      <c r="AV27" s="29">
        <f t="shared" si="130"/>
        <v>0</v>
      </c>
      <c r="AW27" s="29">
        <f t="shared" si="130"/>
        <v>0</v>
      </c>
      <c r="AX27" s="29">
        <f t="shared" si="130"/>
        <v>1</v>
      </c>
      <c r="AY27" s="156">
        <f t="shared" si="131"/>
        <v>4</v>
      </c>
      <c r="AZ27" s="29">
        <f t="shared" si="132"/>
        <v>0</v>
      </c>
      <c r="BA27" s="29">
        <f t="shared" si="132"/>
        <v>0</v>
      </c>
      <c r="BB27" s="29">
        <f t="shared" si="132"/>
        <v>0</v>
      </c>
      <c r="BC27" s="29">
        <f t="shared" si="132"/>
        <v>0</v>
      </c>
      <c r="BD27" s="156">
        <f t="shared" si="133"/>
        <v>0</v>
      </c>
      <c r="BE27" s="29">
        <f t="shared" si="134"/>
        <v>0</v>
      </c>
      <c r="BF27" s="29">
        <f t="shared" si="134"/>
        <v>0</v>
      </c>
      <c r="BG27" s="29">
        <f t="shared" si="134"/>
        <v>0</v>
      </c>
      <c r="BH27" s="29">
        <f t="shared" si="134"/>
        <v>0</v>
      </c>
      <c r="BI27" s="29">
        <f t="shared" si="134"/>
        <v>0</v>
      </c>
      <c r="BJ27" s="156">
        <f t="shared" si="135"/>
        <v>0</v>
      </c>
      <c r="BK27" s="29">
        <f t="shared" si="136"/>
        <v>0</v>
      </c>
      <c r="BL27" s="29">
        <f t="shared" si="136"/>
        <v>0</v>
      </c>
      <c r="BM27" s="29">
        <f t="shared" si="136"/>
        <v>0</v>
      </c>
      <c r="BN27" s="29">
        <f t="shared" si="136"/>
        <v>0</v>
      </c>
      <c r="BO27" s="346">
        <f t="shared" si="137"/>
        <v>0</v>
      </c>
      <c r="BP27" s="346">
        <f t="shared" si="137"/>
        <v>3</v>
      </c>
      <c r="BQ27" s="346">
        <f t="shared" ref="BQ27:BR27" si="149">BQ32+BQ37</f>
        <v>0</v>
      </c>
      <c r="BR27" s="346">
        <f t="shared" si="149"/>
        <v>0</v>
      </c>
      <c r="BS27" s="346">
        <f t="shared" ref="BS27:BT27" si="150">BS32+BS37</f>
        <v>0</v>
      </c>
      <c r="BT27" s="346">
        <f t="shared" si="150"/>
        <v>3</v>
      </c>
      <c r="BU27" s="156">
        <f t="shared" ref="BU27:BV27" si="151">BU32+BU37</f>
        <v>0</v>
      </c>
      <c r="BV27" s="156">
        <f t="shared" si="151"/>
        <v>0</v>
      </c>
      <c r="BW27" s="156">
        <f t="shared" ref="BW27:BY27" si="152">BW32+BW37</f>
        <v>0</v>
      </c>
      <c r="BX27" s="156">
        <f t="shared" si="152"/>
        <v>0</v>
      </c>
      <c r="BY27" s="346">
        <f t="shared" si="152"/>
        <v>0</v>
      </c>
      <c r="BZ27" s="156">
        <f t="shared" ref="BZ27:CA27" si="153">BZ32+BZ37</f>
        <v>0</v>
      </c>
      <c r="CA27" s="156">
        <f t="shared" si="153"/>
        <v>1</v>
      </c>
      <c r="CB27" s="156">
        <f t="shared" ref="CB27:CC27" si="154">CB32+CB37</f>
        <v>0</v>
      </c>
      <c r="CC27" s="156">
        <f t="shared" si="154"/>
        <v>0</v>
      </c>
      <c r="CD27" s="156">
        <f t="shared" ref="CD27" si="155">CD32+CD37</f>
        <v>0</v>
      </c>
      <c r="CE27" s="346">
        <f t="shared" ref="CD27:CE27" si="156">CE32+CE37</f>
        <v>0</v>
      </c>
    </row>
    <row r="28" spans="1:83">
      <c r="C28" t="s">
        <v>89</v>
      </c>
      <c r="D28">
        <f t="shared" si="104"/>
        <v>0</v>
      </c>
      <c r="E28">
        <f t="shared" si="104"/>
        <v>1</v>
      </c>
      <c r="F28">
        <f t="shared" si="104"/>
        <v>3</v>
      </c>
      <c r="G28">
        <f t="shared" si="104"/>
        <v>0</v>
      </c>
      <c r="H28" s="154">
        <f t="shared" si="122"/>
        <v>4</v>
      </c>
      <c r="I28">
        <f t="shared" si="105"/>
        <v>0</v>
      </c>
      <c r="J28">
        <f t="shared" si="105"/>
        <v>1</v>
      </c>
      <c r="K28">
        <f t="shared" si="105"/>
        <v>0</v>
      </c>
      <c r="L28">
        <f t="shared" si="105"/>
        <v>2</v>
      </c>
      <c r="M28" s="154">
        <f>SUM(I28:L28)</f>
        <v>3</v>
      </c>
      <c r="N28" s="29">
        <f>'Company Scorecard'!U48</f>
        <v>2</v>
      </c>
      <c r="O28" s="29">
        <f>'Company Scorecard'!V48</f>
        <v>0</v>
      </c>
      <c r="P28" s="29">
        <f>'Company Scorecard'!W48</f>
        <v>3</v>
      </c>
      <c r="Q28" s="29">
        <f>'Company Scorecard'!X48</f>
        <v>0</v>
      </c>
      <c r="R28" s="29">
        <f>'Company Scorecard'!Y48</f>
        <v>3</v>
      </c>
      <c r="S28" s="156">
        <f t="shared" si="123"/>
        <v>8</v>
      </c>
      <c r="T28" s="29">
        <f t="shared" si="124"/>
        <v>0</v>
      </c>
      <c r="U28" s="29">
        <f t="shared" si="124"/>
        <v>0</v>
      </c>
      <c r="V28" s="29">
        <f t="shared" si="124"/>
        <v>1</v>
      </c>
      <c r="W28" s="29">
        <f t="shared" si="124"/>
        <v>1</v>
      </c>
      <c r="X28" s="156">
        <f t="shared" si="125"/>
        <v>2</v>
      </c>
      <c r="Y28" s="29">
        <f t="shared" ref="Y28:Z28" si="157">Y33+Y38</f>
        <v>1</v>
      </c>
      <c r="Z28" s="29">
        <f t="shared" si="157"/>
        <v>0</v>
      </c>
      <c r="AA28" s="29">
        <f t="shared" ref="AA28:AB28" si="158">AA33+AA38</f>
        <v>2</v>
      </c>
      <c r="AB28" s="29">
        <f t="shared" si="158"/>
        <v>0</v>
      </c>
      <c r="AC28" s="156">
        <f t="shared" si="128"/>
        <v>3</v>
      </c>
      <c r="AD28" s="29">
        <f t="shared" ref="AD28" si="159">AD33+AD38</f>
        <v>2</v>
      </c>
      <c r="AE28" s="29">
        <f t="shared" si="110"/>
        <v>1</v>
      </c>
      <c r="AF28" s="29">
        <f t="shared" si="110"/>
        <v>0</v>
      </c>
      <c r="AG28" s="29">
        <f t="shared" si="110"/>
        <v>0</v>
      </c>
      <c r="AH28" s="29">
        <f t="shared" si="110"/>
        <v>1</v>
      </c>
      <c r="AI28" s="156">
        <f>SUM(AE28:AH28)</f>
        <v>2</v>
      </c>
      <c r="AJ28" s="29">
        <f t="shared" si="111"/>
        <v>2</v>
      </c>
      <c r="AK28" s="29">
        <f t="shared" si="111"/>
        <v>0</v>
      </c>
      <c r="AL28" s="29">
        <f t="shared" si="111"/>
        <v>3</v>
      </c>
      <c r="AM28" s="29">
        <f t="shared" si="111"/>
        <v>3</v>
      </c>
      <c r="AN28" s="156">
        <f>SUM(AJ28:AM28)</f>
        <v>8</v>
      </c>
      <c r="AO28" s="29">
        <f t="shared" si="112"/>
        <v>5</v>
      </c>
      <c r="AP28" s="29">
        <f t="shared" si="112"/>
        <v>1</v>
      </c>
      <c r="AQ28" s="29">
        <f t="shared" si="112"/>
        <v>3</v>
      </c>
      <c r="AR28" s="29">
        <f t="shared" si="112"/>
        <v>2</v>
      </c>
      <c r="AS28" s="156">
        <v>9</v>
      </c>
      <c r="AT28" s="29">
        <f t="shared" si="130"/>
        <v>1</v>
      </c>
      <c r="AU28" s="29">
        <f t="shared" si="130"/>
        <v>0</v>
      </c>
      <c r="AV28" s="29">
        <f t="shared" si="130"/>
        <v>0</v>
      </c>
      <c r="AW28" s="29">
        <f t="shared" si="130"/>
        <v>0</v>
      </c>
      <c r="AX28" s="29">
        <f t="shared" si="130"/>
        <v>2</v>
      </c>
      <c r="AY28" s="156">
        <f t="shared" si="131"/>
        <v>2</v>
      </c>
      <c r="AZ28" s="29">
        <f t="shared" si="132"/>
        <v>1</v>
      </c>
      <c r="BA28" s="29">
        <f t="shared" si="132"/>
        <v>5</v>
      </c>
      <c r="BB28" s="29">
        <f t="shared" si="132"/>
        <v>0</v>
      </c>
      <c r="BC28" s="29">
        <f t="shared" si="132"/>
        <v>2</v>
      </c>
      <c r="BD28" s="156">
        <f t="shared" si="133"/>
        <v>8</v>
      </c>
      <c r="BE28" s="29">
        <f t="shared" si="134"/>
        <v>2</v>
      </c>
      <c r="BF28" s="29">
        <f t="shared" si="134"/>
        <v>1</v>
      </c>
      <c r="BG28" s="29">
        <f t="shared" si="134"/>
        <v>1</v>
      </c>
      <c r="BH28" s="29">
        <f t="shared" si="134"/>
        <v>1</v>
      </c>
      <c r="BI28" s="29">
        <f t="shared" si="134"/>
        <v>0</v>
      </c>
      <c r="BJ28" s="156">
        <f t="shared" si="135"/>
        <v>5</v>
      </c>
      <c r="BK28" s="29">
        <f t="shared" si="136"/>
        <v>2</v>
      </c>
      <c r="BL28" s="29">
        <f t="shared" si="136"/>
        <v>1</v>
      </c>
      <c r="BM28" s="29">
        <f t="shared" si="136"/>
        <v>2</v>
      </c>
      <c r="BN28" s="29">
        <f t="shared" si="136"/>
        <v>2</v>
      </c>
      <c r="BO28" s="346">
        <f t="shared" si="137"/>
        <v>7</v>
      </c>
      <c r="BP28" s="346">
        <f t="shared" si="137"/>
        <v>1</v>
      </c>
      <c r="BQ28" s="346">
        <f t="shared" ref="BQ28:BR28" si="160">BQ33+BQ38</f>
        <v>0</v>
      </c>
      <c r="BR28" s="346">
        <f t="shared" si="160"/>
        <v>3</v>
      </c>
      <c r="BS28" s="346">
        <f t="shared" ref="BS28:BT28" si="161">BS33+BS38</f>
        <v>0</v>
      </c>
      <c r="BT28" s="346">
        <f t="shared" si="161"/>
        <v>4</v>
      </c>
      <c r="BU28" s="156">
        <f t="shared" ref="BU28:BV28" si="162">BU33+BU38</f>
        <v>2</v>
      </c>
      <c r="BV28" s="156">
        <f t="shared" si="162"/>
        <v>2</v>
      </c>
      <c r="BW28" s="156">
        <f t="shared" ref="BW28:BY28" si="163">BW33+BW38</f>
        <v>2</v>
      </c>
      <c r="BX28" s="156">
        <f t="shared" si="163"/>
        <v>0</v>
      </c>
      <c r="BY28" s="346">
        <f t="shared" si="163"/>
        <v>7</v>
      </c>
      <c r="BZ28" s="156">
        <f t="shared" ref="BZ28:CA28" si="164">BZ33+BZ38</f>
        <v>0</v>
      </c>
      <c r="CA28" s="156">
        <f t="shared" si="164"/>
        <v>3</v>
      </c>
      <c r="CB28" s="156">
        <f t="shared" ref="CB28:CC28" si="165">CB33+CB38</f>
        <v>1</v>
      </c>
      <c r="CC28" s="156">
        <f t="shared" si="165"/>
        <v>2</v>
      </c>
      <c r="CD28" s="156">
        <f t="shared" ref="CD28" si="166">CD33+CD38</f>
        <v>1</v>
      </c>
      <c r="CE28" s="346">
        <f t="shared" ref="CD28:CE28" si="167">CE33+CE38</f>
        <v>7</v>
      </c>
    </row>
    <row r="29" spans="1:83" s="11" customFormat="1" ht="29.25">
      <c r="A29" s="50" t="s">
        <v>246</v>
      </c>
      <c r="B29" s="54" t="s">
        <v>2</v>
      </c>
      <c r="H29" s="153"/>
      <c r="M29" s="153"/>
      <c r="S29" s="153"/>
      <c r="X29" s="153"/>
      <c r="AC29" s="153"/>
      <c r="AI29" s="153"/>
      <c r="AN29" s="153"/>
      <c r="AS29" s="153"/>
      <c r="AY29" s="153"/>
      <c r="BD29" s="153"/>
      <c r="BJ29" s="153"/>
      <c r="BO29" s="341"/>
      <c r="BP29" s="341"/>
      <c r="BQ29" s="341"/>
      <c r="BR29" s="341"/>
      <c r="BS29" s="341"/>
      <c r="BT29" s="341"/>
      <c r="BU29" s="153"/>
      <c r="BV29" s="153"/>
      <c r="BW29" s="153"/>
      <c r="BX29" s="153"/>
      <c r="BY29" s="341"/>
      <c r="BZ29" s="153"/>
      <c r="CA29" s="153"/>
      <c r="CB29" s="153"/>
      <c r="CC29" s="153"/>
      <c r="CD29" s="153"/>
      <c r="CE29" s="341"/>
    </row>
    <row r="30" spans="1:83">
      <c r="C30" t="s">
        <v>76</v>
      </c>
      <c r="D30">
        <v>0</v>
      </c>
      <c r="E30">
        <v>1</v>
      </c>
      <c r="F30">
        <v>0</v>
      </c>
      <c r="G30">
        <v>0</v>
      </c>
      <c r="H30" s="154">
        <f>SUM(D30:G30)</f>
        <v>1</v>
      </c>
      <c r="I30">
        <v>0</v>
      </c>
      <c r="J30">
        <v>0</v>
      </c>
      <c r="K30">
        <v>2</v>
      </c>
      <c r="L30">
        <v>0</v>
      </c>
      <c r="M30" s="154">
        <f>SUM(I30:L30)</f>
        <v>2</v>
      </c>
      <c r="N30">
        <v>0</v>
      </c>
      <c r="O30">
        <v>0</v>
      </c>
      <c r="P30">
        <v>0</v>
      </c>
      <c r="Q30">
        <v>0</v>
      </c>
      <c r="R30">
        <v>0</v>
      </c>
      <c r="S30" s="156">
        <f>SUM(N30:R30)</f>
        <v>0</v>
      </c>
      <c r="T30">
        <v>0</v>
      </c>
      <c r="U30">
        <v>2</v>
      </c>
      <c r="V30">
        <v>1</v>
      </c>
      <c r="W30">
        <v>0</v>
      </c>
      <c r="X30" s="212">
        <f>SUM(T30:W30)</f>
        <v>3</v>
      </c>
      <c r="Y30">
        <v>0</v>
      </c>
      <c r="Z30">
        <v>0</v>
      </c>
      <c r="AA30">
        <v>1</v>
      </c>
      <c r="AB30">
        <v>1</v>
      </c>
      <c r="AC30" s="156">
        <f>SUM(Y30:AB30)</f>
        <v>2</v>
      </c>
      <c r="AD30">
        <v>1</v>
      </c>
      <c r="AE30">
        <v>0</v>
      </c>
      <c r="AF30">
        <v>0</v>
      </c>
      <c r="AG30">
        <v>0</v>
      </c>
      <c r="AH30">
        <v>0</v>
      </c>
      <c r="AI30" s="154">
        <f>SUM(AD30:AH30)</f>
        <v>1</v>
      </c>
      <c r="AJ30">
        <v>0</v>
      </c>
      <c r="AK30">
        <v>1</v>
      </c>
      <c r="AL30">
        <v>0</v>
      </c>
      <c r="AM30">
        <v>0</v>
      </c>
      <c r="AN30" s="154">
        <f>SUM(AI30:AM30)</f>
        <v>2</v>
      </c>
      <c r="AO30">
        <v>0</v>
      </c>
      <c r="AP30">
        <v>2</v>
      </c>
      <c r="AQ30">
        <v>0</v>
      </c>
      <c r="AR30">
        <v>1</v>
      </c>
      <c r="AS30" s="154">
        <v>5</v>
      </c>
      <c r="AT30">
        <v>1</v>
      </c>
      <c r="AU30">
        <v>0</v>
      </c>
      <c r="AV30">
        <v>0</v>
      </c>
      <c r="AW30">
        <v>1</v>
      </c>
      <c r="AX30">
        <v>1</v>
      </c>
      <c r="AY30" s="154">
        <v>2</v>
      </c>
      <c r="AZ30">
        <v>0</v>
      </c>
      <c r="BA30">
        <v>0</v>
      </c>
      <c r="BB30">
        <v>0</v>
      </c>
      <c r="BC30">
        <v>0</v>
      </c>
      <c r="BD30" s="154">
        <v>3</v>
      </c>
      <c r="BE30">
        <v>1</v>
      </c>
      <c r="BF30">
        <v>0</v>
      </c>
      <c r="BG30">
        <v>0</v>
      </c>
      <c r="BH30">
        <v>0</v>
      </c>
      <c r="BI30">
        <v>0</v>
      </c>
      <c r="BJ30" s="154">
        <v>2</v>
      </c>
      <c r="BK30">
        <v>0</v>
      </c>
      <c r="BL30">
        <v>1</v>
      </c>
      <c r="BM30">
        <v>0</v>
      </c>
      <c r="BN30">
        <v>0</v>
      </c>
      <c r="BO30" s="344">
        <v>2</v>
      </c>
      <c r="BP30" s="344">
        <v>0</v>
      </c>
      <c r="BQ30" s="344">
        <v>0</v>
      </c>
      <c r="BR30" s="344">
        <v>0</v>
      </c>
      <c r="BS30" s="344">
        <v>2</v>
      </c>
      <c r="BT30" s="344">
        <v>4</v>
      </c>
      <c r="BU30" s="154">
        <v>1</v>
      </c>
      <c r="BV30" s="154">
        <v>1</v>
      </c>
      <c r="BW30" s="154">
        <v>0</v>
      </c>
      <c r="BX30" s="154">
        <v>1</v>
      </c>
      <c r="BY30" s="344">
        <v>5</v>
      </c>
      <c r="BZ30" s="154">
        <v>0</v>
      </c>
      <c r="CA30" s="154">
        <v>0</v>
      </c>
      <c r="CB30" s="154">
        <v>0</v>
      </c>
      <c r="CC30" s="154">
        <v>0</v>
      </c>
      <c r="CD30" s="154">
        <v>1</v>
      </c>
      <c r="CE30" s="344">
        <v>5</v>
      </c>
    </row>
    <row r="31" spans="1:83">
      <c r="C31" t="s">
        <v>77</v>
      </c>
      <c r="D31">
        <v>0</v>
      </c>
      <c r="E31">
        <v>0</v>
      </c>
      <c r="F31">
        <v>0</v>
      </c>
      <c r="G31">
        <v>0</v>
      </c>
      <c r="H31" s="154">
        <f t="shared" ref="H31:H33" si="168">SUM(D31:G31)</f>
        <v>0</v>
      </c>
      <c r="I31">
        <v>0</v>
      </c>
      <c r="J31">
        <v>0</v>
      </c>
      <c r="K31">
        <v>0</v>
      </c>
      <c r="L31">
        <v>0</v>
      </c>
      <c r="M31" s="154">
        <f>SUM(I31:L31)</f>
        <v>0</v>
      </c>
      <c r="N31">
        <v>0</v>
      </c>
      <c r="O31">
        <v>1</v>
      </c>
      <c r="P31">
        <v>0</v>
      </c>
      <c r="Q31">
        <v>0</v>
      </c>
      <c r="R31">
        <v>0</v>
      </c>
      <c r="S31" s="156">
        <f t="shared" ref="S31:S33" si="169">SUM(N31:R31)</f>
        <v>1</v>
      </c>
      <c r="T31">
        <v>1</v>
      </c>
      <c r="U31">
        <v>0</v>
      </c>
      <c r="V31">
        <v>0</v>
      </c>
      <c r="W31">
        <v>0</v>
      </c>
      <c r="X31" s="156">
        <f t="shared" ref="X31:X33" si="170">SUM(T31:W31)</f>
        <v>1</v>
      </c>
      <c r="Y31">
        <v>0</v>
      </c>
      <c r="Z31">
        <v>1</v>
      </c>
      <c r="AA31">
        <v>0</v>
      </c>
      <c r="AB31">
        <v>0</v>
      </c>
      <c r="AC31" s="156">
        <f t="shared" ref="AC31:AC33" si="171">SUM(Y31:AB31)</f>
        <v>1</v>
      </c>
      <c r="AD31">
        <v>0</v>
      </c>
      <c r="AE31">
        <v>0</v>
      </c>
      <c r="AF31">
        <v>0</v>
      </c>
      <c r="AG31">
        <v>0</v>
      </c>
      <c r="AH31">
        <v>0</v>
      </c>
      <c r="AI31" s="154">
        <f>SUM(AD31:AH31)</f>
        <v>0</v>
      </c>
      <c r="AJ31">
        <v>0</v>
      </c>
      <c r="AK31">
        <v>0</v>
      </c>
      <c r="AL31">
        <v>0</v>
      </c>
      <c r="AM31">
        <v>0</v>
      </c>
      <c r="AN31" s="154">
        <f>SUM(AI31:AM31)</f>
        <v>0</v>
      </c>
      <c r="AO31">
        <v>0</v>
      </c>
      <c r="AP31">
        <v>1</v>
      </c>
      <c r="AQ31">
        <v>0</v>
      </c>
      <c r="AR31">
        <v>0</v>
      </c>
      <c r="AS31" s="154">
        <v>0</v>
      </c>
      <c r="AT31">
        <v>0</v>
      </c>
      <c r="AU31">
        <v>0</v>
      </c>
      <c r="AV31">
        <v>1</v>
      </c>
      <c r="AW31">
        <v>1</v>
      </c>
      <c r="AX31">
        <v>0</v>
      </c>
      <c r="AY31" s="154">
        <v>2</v>
      </c>
      <c r="AZ31">
        <v>0</v>
      </c>
      <c r="BA31">
        <v>0</v>
      </c>
      <c r="BB31">
        <v>0</v>
      </c>
      <c r="BC31">
        <v>0</v>
      </c>
      <c r="BD31" s="154">
        <v>0</v>
      </c>
      <c r="BE31">
        <v>0</v>
      </c>
      <c r="BF31">
        <v>0</v>
      </c>
      <c r="BG31">
        <v>0</v>
      </c>
      <c r="BH31">
        <v>0</v>
      </c>
      <c r="BI31">
        <v>0</v>
      </c>
      <c r="BJ31" s="154">
        <v>0</v>
      </c>
      <c r="BK31">
        <v>0</v>
      </c>
      <c r="BL31">
        <v>0</v>
      </c>
      <c r="BM31">
        <v>1</v>
      </c>
      <c r="BN31">
        <v>0</v>
      </c>
      <c r="BO31" s="344">
        <v>1</v>
      </c>
      <c r="BP31" s="344">
        <v>0</v>
      </c>
      <c r="BQ31" s="344">
        <v>0</v>
      </c>
      <c r="BR31" s="344">
        <v>0</v>
      </c>
      <c r="BS31" s="344">
        <v>0</v>
      </c>
      <c r="BT31" s="344">
        <v>0</v>
      </c>
      <c r="BU31" s="154">
        <v>0</v>
      </c>
      <c r="BV31" s="154">
        <v>0</v>
      </c>
      <c r="BW31" s="154">
        <v>0</v>
      </c>
      <c r="BX31" s="154">
        <v>0</v>
      </c>
      <c r="BY31" s="344">
        <v>0</v>
      </c>
      <c r="BZ31" s="154">
        <v>0</v>
      </c>
      <c r="CA31" s="154">
        <v>0</v>
      </c>
      <c r="CB31" s="154">
        <v>0</v>
      </c>
      <c r="CC31" s="154">
        <v>0</v>
      </c>
      <c r="CD31" s="154">
        <v>0</v>
      </c>
      <c r="CE31" s="344">
        <v>0</v>
      </c>
    </row>
    <row r="32" spans="1:83">
      <c r="C32" t="s">
        <v>78</v>
      </c>
      <c r="D32">
        <v>1</v>
      </c>
      <c r="E32">
        <v>0</v>
      </c>
      <c r="F32">
        <v>0</v>
      </c>
      <c r="G32">
        <v>0</v>
      </c>
      <c r="H32" s="154">
        <f t="shared" si="168"/>
        <v>1</v>
      </c>
      <c r="I32">
        <v>0</v>
      </c>
      <c r="J32">
        <v>1</v>
      </c>
      <c r="K32">
        <v>1</v>
      </c>
      <c r="L32">
        <v>0</v>
      </c>
      <c r="M32" s="154">
        <f>SUM(I32:L32)</f>
        <v>2</v>
      </c>
      <c r="N32">
        <v>0</v>
      </c>
      <c r="O32">
        <v>0</v>
      </c>
      <c r="P32">
        <v>0</v>
      </c>
      <c r="Q32">
        <v>0</v>
      </c>
      <c r="R32">
        <v>0</v>
      </c>
      <c r="S32" s="156">
        <f t="shared" si="169"/>
        <v>0</v>
      </c>
      <c r="T32">
        <v>0</v>
      </c>
      <c r="U32">
        <v>0</v>
      </c>
      <c r="V32">
        <v>0</v>
      </c>
      <c r="W32">
        <v>0</v>
      </c>
      <c r="X32" s="156">
        <f t="shared" si="170"/>
        <v>0</v>
      </c>
      <c r="Y32">
        <v>0</v>
      </c>
      <c r="Z32">
        <v>0</v>
      </c>
      <c r="AA32">
        <v>0</v>
      </c>
      <c r="AB32">
        <v>0</v>
      </c>
      <c r="AC32" s="156">
        <f t="shared" si="171"/>
        <v>0</v>
      </c>
      <c r="AD32">
        <v>0</v>
      </c>
      <c r="AE32">
        <v>0</v>
      </c>
      <c r="AF32">
        <v>0</v>
      </c>
      <c r="AG32">
        <v>0</v>
      </c>
      <c r="AH32">
        <v>0</v>
      </c>
      <c r="AI32" s="154">
        <f>SUM(AD32:AH32)</f>
        <v>0</v>
      </c>
      <c r="AJ32">
        <v>0</v>
      </c>
      <c r="AK32">
        <v>0</v>
      </c>
      <c r="AL32">
        <v>0</v>
      </c>
      <c r="AM32">
        <v>0</v>
      </c>
      <c r="AN32" s="154">
        <f>SUM(AI32:AM32)</f>
        <v>0</v>
      </c>
      <c r="AO32">
        <v>0</v>
      </c>
      <c r="AP32">
        <v>0</v>
      </c>
      <c r="AQ32">
        <v>0</v>
      </c>
      <c r="AR32">
        <v>0</v>
      </c>
      <c r="AS32" s="154">
        <v>1</v>
      </c>
      <c r="AT32">
        <v>1</v>
      </c>
      <c r="AU32">
        <v>0</v>
      </c>
      <c r="AV32">
        <v>0</v>
      </c>
      <c r="AW32">
        <v>0</v>
      </c>
      <c r="AX32">
        <v>0</v>
      </c>
      <c r="AY32" s="154">
        <v>0</v>
      </c>
      <c r="AZ32">
        <v>0</v>
      </c>
      <c r="BA32">
        <v>0</v>
      </c>
      <c r="BB32">
        <v>0</v>
      </c>
      <c r="BC32">
        <v>0</v>
      </c>
      <c r="BD32" s="154">
        <v>0</v>
      </c>
      <c r="BE32">
        <v>0</v>
      </c>
      <c r="BF32">
        <v>0</v>
      </c>
      <c r="BG32">
        <v>0</v>
      </c>
      <c r="BH32">
        <v>0</v>
      </c>
      <c r="BI32">
        <v>0</v>
      </c>
      <c r="BJ32" s="154">
        <v>0</v>
      </c>
      <c r="BK32">
        <v>0</v>
      </c>
      <c r="BL32">
        <v>0</v>
      </c>
      <c r="BM32">
        <v>0</v>
      </c>
      <c r="BN32">
        <v>0</v>
      </c>
      <c r="BO32" s="344">
        <v>0</v>
      </c>
      <c r="BP32" s="344">
        <v>0</v>
      </c>
      <c r="BQ32" s="344">
        <v>0</v>
      </c>
      <c r="BR32" s="344">
        <v>0</v>
      </c>
      <c r="BS32" s="344">
        <v>0</v>
      </c>
      <c r="BT32" s="344">
        <v>0</v>
      </c>
      <c r="BU32" s="154">
        <v>0</v>
      </c>
      <c r="BV32" s="154">
        <v>0</v>
      </c>
      <c r="BW32" s="154">
        <v>0</v>
      </c>
      <c r="BX32" s="154">
        <v>0</v>
      </c>
      <c r="BY32" s="344">
        <v>0</v>
      </c>
      <c r="BZ32" s="154">
        <v>0</v>
      </c>
      <c r="CA32" s="154">
        <v>0</v>
      </c>
      <c r="CB32" s="154">
        <v>0</v>
      </c>
      <c r="CC32" s="154">
        <v>0</v>
      </c>
      <c r="CD32" s="154">
        <v>0</v>
      </c>
      <c r="CE32" s="344">
        <v>0</v>
      </c>
    </row>
    <row r="33" spans="1:83">
      <c r="C33" t="s">
        <v>89</v>
      </c>
      <c r="D33">
        <v>0</v>
      </c>
      <c r="E33">
        <v>1</v>
      </c>
      <c r="F33">
        <v>3</v>
      </c>
      <c r="G33">
        <v>0</v>
      </c>
      <c r="H33" s="154">
        <f t="shared" si="168"/>
        <v>4</v>
      </c>
      <c r="I33">
        <v>0</v>
      </c>
      <c r="J33">
        <v>0</v>
      </c>
      <c r="K33">
        <v>0</v>
      </c>
      <c r="L33">
        <v>2</v>
      </c>
      <c r="M33" s="154">
        <f>SUM(I33:L33)</f>
        <v>2</v>
      </c>
      <c r="N33">
        <v>0</v>
      </c>
      <c r="O33">
        <v>0</v>
      </c>
      <c r="P33">
        <v>2</v>
      </c>
      <c r="Q33">
        <v>0</v>
      </c>
      <c r="R33">
        <v>0</v>
      </c>
      <c r="S33" s="156">
        <f t="shared" si="169"/>
        <v>2</v>
      </c>
      <c r="T33">
        <v>0</v>
      </c>
      <c r="U33">
        <v>0</v>
      </c>
      <c r="V33">
        <v>0</v>
      </c>
      <c r="W33">
        <v>0</v>
      </c>
      <c r="X33" s="156">
        <f t="shared" si="170"/>
        <v>0</v>
      </c>
      <c r="Y33">
        <v>0</v>
      </c>
      <c r="Z33">
        <v>0</v>
      </c>
      <c r="AA33">
        <v>0</v>
      </c>
      <c r="AB33">
        <v>0</v>
      </c>
      <c r="AC33" s="156">
        <f t="shared" si="171"/>
        <v>0</v>
      </c>
      <c r="AD33">
        <v>1</v>
      </c>
      <c r="AE33">
        <v>1</v>
      </c>
      <c r="AF33">
        <v>0</v>
      </c>
      <c r="AG33">
        <v>0</v>
      </c>
      <c r="AH33">
        <v>1</v>
      </c>
      <c r="AI33" s="154">
        <f>SUM(AD33:AH33)</f>
        <v>3</v>
      </c>
      <c r="AJ33">
        <v>1</v>
      </c>
      <c r="AK33">
        <v>0</v>
      </c>
      <c r="AL33">
        <v>2</v>
      </c>
      <c r="AM33">
        <v>0</v>
      </c>
      <c r="AN33" s="154">
        <f>SUM(AI33:AM33)</f>
        <v>6</v>
      </c>
      <c r="AO33">
        <v>1</v>
      </c>
      <c r="AP33">
        <v>0</v>
      </c>
      <c r="AQ33">
        <v>2</v>
      </c>
      <c r="AR33">
        <v>2</v>
      </c>
      <c r="AS33" s="154">
        <v>5</v>
      </c>
      <c r="AT33">
        <v>1</v>
      </c>
      <c r="AU33">
        <v>0</v>
      </c>
      <c r="AV33">
        <v>0</v>
      </c>
      <c r="AW33">
        <v>0</v>
      </c>
      <c r="AX33">
        <v>0</v>
      </c>
      <c r="AY33" s="154">
        <v>0</v>
      </c>
      <c r="AZ33">
        <v>0</v>
      </c>
      <c r="BA33">
        <v>1</v>
      </c>
      <c r="BB33">
        <v>0</v>
      </c>
      <c r="BC33">
        <v>1</v>
      </c>
      <c r="BD33" s="154">
        <v>3</v>
      </c>
      <c r="BE33">
        <v>0</v>
      </c>
      <c r="BF33">
        <v>0</v>
      </c>
      <c r="BG33">
        <v>0</v>
      </c>
      <c r="BH33">
        <v>0</v>
      </c>
      <c r="BI33">
        <v>0</v>
      </c>
      <c r="BJ33" s="154">
        <v>1</v>
      </c>
      <c r="BK33">
        <v>0</v>
      </c>
      <c r="BL33">
        <v>0</v>
      </c>
      <c r="BM33">
        <v>0</v>
      </c>
      <c r="BN33">
        <v>0</v>
      </c>
      <c r="BO33" s="344">
        <v>0</v>
      </c>
      <c r="BP33" s="344">
        <v>0</v>
      </c>
      <c r="BQ33" s="344">
        <v>0</v>
      </c>
      <c r="BR33" s="344">
        <v>0</v>
      </c>
      <c r="BS33" s="344">
        <v>0</v>
      </c>
      <c r="BT33" s="344">
        <v>0</v>
      </c>
      <c r="BU33" s="154">
        <v>0</v>
      </c>
      <c r="BV33" s="154">
        <v>2</v>
      </c>
      <c r="BW33" s="154">
        <v>1</v>
      </c>
      <c r="BX33" s="154">
        <v>0</v>
      </c>
      <c r="BY33" s="344">
        <v>3</v>
      </c>
      <c r="BZ33" s="154">
        <v>0</v>
      </c>
      <c r="CA33" s="154">
        <v>3</v>
      </c>
      <c r="CB33" s="154">
        <v>1</v>
      </c>
      <c r="CC33" s="154">
        <v>1</v>
      </c>
      <c r="CD33" s="154">
        <v>0</v>
      </c>
      <c r="CE33" s="344">
        <v>3</v>
      </c>
    </row>
    <row r="34" spans="1:83" s="11" customFormat="1" ht="29.25">
      <c r="A34" s="50" t="s">
        <v>247</v>
      </c>
      <c r="B34" s="54" t="s">
        <v>2</v>
      </c>
      <c r="H34" s="153"/>
      <c r="M34" s="153"/>
      <c r="S34" s="153"/>
      <c r="X34" s="153"/>
      <c r="AC34" s="153"/>
      <c r="AI34" s="153"/>
      <c r="AN34" s="153"/>
      <c r="AS34" s="153"/>
      <c r="AY34" s="153"/>
      <c r="BD34" s="153"/>
      <c r="BJ34" s="153"/>
      <c r="BO34" s="341"/>
      <c r="BP34" s="341"/>
      <c r="BQ34" s="341"/>
      <c r="BR34" s="341"/>
      <c r="BS34" s="341"/>
      <c r="BT34" s="341"/>
      <c r="BU34" s="153"/>
      <c r="BV34" s="153"/>
      <c r="BW34" s="153"/>
      <c r="BX34" s="153"/>
      <c r="BY34" s="341"/>
      <c r="BZ34" s="153"/>
      <c r="CA34" s="153"/>
      <c r="CB34" s="153"/>
      <c r="CC34" s="153"/>
      <c r="CD34" s="153"/>
      <c r="CE34" s="341"/>
    </row>
    <row r="35" spans="1:83">
      <c r="B35" s="56" t="s">
        <v>248</v>
      </c>
      <c r="C35" t="s">
        <v>76</v>
      </c>
      <c r="D35">
        <v>0</v>
      </c>
      <c r="E35">
        <v>0</v>
      </c>
      <c r="F35">
        <v>2</v>
      </c>
      <c r="G35">
        <v>0</v>
      </c>
      <c r="H35" s="154">
        <f>SUM(D35:G35)</f>
        <v>2</v>
      </c>
      <c r="I35">
        <v>1</v>
      </c>
      <c r="J35">
        <v>0</v>
      </c>
      <c r="K35">
        <v>0</v>
      </c>
      <c r="L35">
        <v>2</v>
      </c>
      <c r="M35" s="154">
        <f>SUM(I35:L35)</f>
        <v>3</v>
      </c>
      <c r="N35">
        <v>0</v>
      </c>
      <c r="O35">
        <v>0</v>
      </c>
      <c r="P35">
        <v>1</v>
      </c>
      <c r="Q35">
        <v>1</v>
      </c>
      <c r="R35">
        <v>1</v>
      </c>
      <c r="S35" s="156">
        <f>SUM(N35:R35)</f>
        <v>3</v>
      </c>
      <c r="T35">
        <v>0</v>
      </c>
      <c r="U35" s="213">
        <v>3</v>
      </c>
      <c r="V35">
        <v>0</v>
      </c>
      <c r="W35">
        <v>1</v>
      </c>
      <c r="X35" s="212">
        <f>SUM(T35:W35)</f>
        <v>4</v>
      </c>
      <c r="Y35">
        <v>2</v>
      </c>
      <c r="Z35">
        <v>0</v>
      </c>
      <c r="AA35">
        <v>3</v>
      </c>
      <c r="AB35">
        <v>1</v>
      </c>
      <c r="AC35" s="156">
        <f>SUM(Y35:AB35)</f>
        <v>6</v>
      </c>
      <c r="AD35">
        <v>1</v>
      </c>
      <c r="AE35">
        <v>1</v>
      </c>
      <c r="AF35">
        <v>1</v>
      </c>
      <c r="AG35">
        <v>2</v>
      </c>
      <c r="AH35">
        <v>1</v>
      </c>
      <c r="AI35" s="154">
        <f>SUM(AD35:AH35)</f>
        <v>6</v>
      </c>
      <c r="AJ35">
        <v>0</v>
      </c>
      <c r="AK35">
        <v>1</v>
      </c>
      <c r="AL35">
        <v>1</v>
      </c>
      <c r="AM35">
        <v>0</v>
      </c>
      <c r="AN35" s="154">
        <f>SUM(AI35:AM35)</f>
        <v>8</v>
      </c>
      <c r="AO35">
        <v>2</v>
      </c>
      <c r="AP35">
        <v>0</v>
      </c>
      <c r="AQ35">
        <v>2</v>
      </c>
      <c r="AR35">
        <v>0</v>
      </c>
      <c r="AS35" s="154">
        <v>4</v>
      </c>
      <c r="AT35">
        <v>1</v>
      </c>
      <c r="AU35">
        <v>1</v>
      </c>
      <c r="AV35">
        <v>1</v>
      </c>
      <c r="AW35">
        <v>0</v>
      </c>
      <c r="AX35">
        <v>1</v>
      </c>
      <c r="AY35" s="154">
        <v>4</v>
      </c>
      <c r="AZ35">
        <v>1</v>
      </c>
      <c r="BA35">
        <v>0</v>
      </c>
      <c r="BB35">
        <v>3</v>
      </c>
      <c r="BC35">
        <v>0</v>
      </c>
      <c r="BD35" s="154">
        <v>2</v>
      </c>
      <c r="BE35">
        <v>0</v>
      </c>
      <c r="BF35">
        <v>2</v>
      </c>
      <c r="BG35">
        <v>1</v>
      </c>
      <c r="BH35">
        <v>1</v>
      </c>
      <c r="BI35">
        <v>1</v>
      </c>
      <c r="BJ35" s="154">
        <v>5</v>
      </c>
      <c r="BK35">
        <v>0</v>
      </c>
      <c r="BL35">
        <v>0</v>
      </c>
      <c r="BM35">
        <v>0</v>
      </c>
      <c r="BN35">
        <v>0</v>
      </c>
      <c r="BO35" s="344">
        <v>1</v>
      </c>
      <c r="BP35" s="344">
        <v>3</v>
      </c>
      <c r="BQ35" s="344">
        <v>2</v>
      </c>
      <c r="BR35" s="344">
        <v>1</v>
      </c>
      <c r="BS35" s="344">
        <v>2</v>
      </c>
      <c r="BT35" s="344">
        <v>7</v>
      </c>
      <c r="BU35" s="154">
        <v>1</v>
      </c>
      <c r="BV35" s="154">
        <v>2</v>
      </c>
      <c r="BW35" s="154">
        <v>0</v>
      </c>
      <c r="BX35" s="154">
        <v>0</v>
      </c>
      <c r="BY35" s="344">
        <v>5</v>
      </c>
      <c r="BZ35" s="154">
        <v>0</v>
      </c>
      <c r="CA35" s="154">
        <v>0</v>
      </c>
      <c r="CB35" s="154">
        <v>0</v>
      </c>
      <c r="CC35" s="154">
        <v>0</v>
      </c>
      <c r="CD35" s="154">
        <v>0</v>
      </c>
      <c r="CE35" s="344">
        <v>5</v>
      </c>
    </row>
    <row r="36" spans="1:83">
      <c r="B36" s="56" t="s">
        <v>248</v>
      </c>
      <c r="C36" t="s">
        <v>77</v>
      </c>
      <c r="D36">
        <v>0</v>
      </c>
      <c r="E36">
        <v>0</v>
      </c>
      <c r="F36">
        <v>0</v>
      </c>
      <c r="G36">
        <v>0</v>
      </c>
      <c r="H36" s="154">
        <f t="shared" ref="H36:H38" si="172">SUM(D36:G36)</f>
        <v>0</v>
      </c>
      <c r="I36">
        <v>0</v>
      </c>
      <c r="J36">
        <v>1</v>
      </c>
      <c r="K36">
        <v>0</v>
      </c>
      <c r="L36">
        <v>0</v>
      </c>
      <c r="M36" s="154">
        <f>SUM(I36:L36)</f>
        <v>1</v>
      </c>
      <c r="N36">
        <v>0</v>
      </c>
      <c r="O36">
        <v>0</v>
      </c>
      <c r="P36">
        <v>0</v>
      </c>
      <c r="Q36">
        <v>0</v>
      </c>
      <c r="R36">
        <v>0</v>
      </c>
      <c r="S36" s="156">
        <f t="shared" ref="S36:S38" si="173">SUM(N36:R36)</f>
        <v>0</v>
      </c>
      <c r="T36">
        <v>0</v>
      </c>
      <c r="U36">
        <v>0</v>
      </c>
      <c r="V36">
        <v>0</v>
      </c>
      <c r="W36">
        <v>0</v>
      </c>
      <c r="X36" s="156">
        <f t="shared" ref="X36:X38" si="174">SUM(T36:W36)</f>
        <v>0</v>
      </c>
      <c r="Y36">
        <v>0</v>
      </c>
      <c r="Z36">
        <v>0</v>
      </c>
      <c r="AA36">
        <v>0</v>
      </c>
      <c r="AB36">
        <v>0</v>
      </c>
      <c r="AC36" s="156">
        <f t="shared" ref="AC36:AC38" si="175">SUM(Y36:AB36)</f>
        <v>0</v>
      </c>
      <c r="AD36">
        <v>0</v>
      </c>
      <c r="AE36">
        <v>0</v>
      </c>
      <c r="AF36">
        <v>1</v>
      </c>
      <c r="AG36">
        <v>1</v>
      </c>
      <c r="AH36">
        <v>1</v>
      </c>
      <c r="AI36" s="154">
        <f>SUM(AD36:AH36)</f>
        <v>3</v>
      </c>
      <c r="AJ36">
        <v>0</v>
      </c>
      <c r="AK36">
        <v>0</v>
      </c>
      <c r="AL36">
        <v>1</v>
      </c>
      <c r="AM36">
        <v>1</v>
      </c>
      <c r="AN36" s="154">
        <f>SUM(AI36:AM36)</f>
        <v>5</v>
      </c>
      <c r="AO36">
        <v>0</v>
      </c>
      <c r="AP36">
        <v>1</v>
      </c>
      <c r="AQ36">
        <v>0</v>
      </c>
      <c r="AR36">
        <v>0</v>
      </c>
      <c r="AS36" s="154">
        <v>2</v>
      </c>
      <c r="AT36">
        <v>0</v>
      </c>
      <c r="AU36">
        <v>0</v>
      </c>
      <c r="AV36">
        <v>0</v>
      </c>
      <c r="AW36">
        <v>0</v>
      </c>
      <c r="AX36">
        <v>0</v>
      </c>
      <c r="AY36" s="154">
        <v>0</v>
      </c>
      <c r="AZ36">
        <v>1</v>
      </c>
      <c r="BA36">
        <v>1</v>
      </c>
      <c r="BB36">
        <v>0</v>
      </c>
      <c r="BC36">
        <v>0</v>
      </c>
      <c r="BD36" s="154">
        <v>2</v>
      </c>
      <c r="BE36">
        <v>0</v>
      </c>
      <c r="BF36">
        <v>0</v>
      </c>
      <c r="BG36">
        <v>1</v>
      </c>
      <c r="BH36">
        <v>0</v>
      </c>
      <c r="BI36">
        <v>1</v>
      </c>
      <c r="BJ36" s="154">
        <v>1</v>
      </c>
      <c r="BK36">
        <v>0</v>
      </c>
      <c r="BL36">
        <v>1</v>
      </c>
      <c r="BM36">
        <v>0</v>
      </c>
      <c r="BN36">
        <v>0</v>
      </c>
      <c r="BO36" s="344">
        <v>2</v>
      </c>
      <c r="BP36" s="344">
        <v>0</v>
      </c>
      <c r="BQ36" s="344">
        <v>1</v>
      </c>
      <c r="BR36" s="344">
        <v>0</v>
      </c>
      <c r="BS36" s="344">
        <v>0</v>
      </c>
      <c r="BT36" s="344">
        <v>1</v>
      </c>
      <c r="BU36" s="154">
        <v>1</v>
      </c>
      <c r="BV36" s="154">
        <v>0</v>
      </c>
      <c r="BW36" s="154">
        <v>0</v>
      </c>
      <c r="BX36" s="154">
        <v>0</v>
      </c>
      <c r="BY36" s="344">
        <v>2</v>
      </c>
      <c r="BZ36" s="154">
        <v>0</v>
      </c>
      <c r="CA36" s="154">
        <v>0</v>
      </c>
      <c r="CB36" s="154">
        <v>0</v>
      </c>
      <c r="CC36" s="154">
        <v>1</v>
      </c>
      <c r="CD36" s="154">
        <v>3</v>
      </c>
      <c r="CE36" s="344">
        <v>2</v>
      </c>
    </row>
    <row r="37" spans="1:83">
      <c r="B37" s="56" t="s">
        <v>248</v>
      </c>
      <c r="C37" t="s">
        <v>78</v>
      </c>
      <c r="D37">
        <v>0</v>
      </c>
      <c r="E37">
        <v>0</v>
      </c>
      <c r="F37">
        <v>0</v>
      </c>
      <c r="G37">
        <v>0</v>
      </c>
      <c r="H37" s="154">
        <f t="shared" si="172"/>
        <v>0</v>
      </c>
      <c r="I37">
        <v>0</v>
      </c>
      <c r="J37">
        <v>0</v>
      </c>
      <c r="K37">
        <v>0</v>
      </c>
      <c r="L37">
        <v>0</v>
      </c>
      <c r="M37" s="154">
        <f>SUM(I37:L37)</f>
        <v>0</v>
      </c>
      <c r="N37">
        <v>0</v>
      </c>
      <c r="O37">
        <v>0</v>
      </c>
      <c r="P37">
        <v>0</v>
      </c>
      <c r="Q37">
        <v>0</v>
      </c>
      <c r="R37">
        <v>0</v>
      </c>
      <c r="S37" s="156">
        <f t="shared" si="173"/>
        <v>0</v>
      </c>
      <c r="T37">
        <v>0</v>
      </c>
      <c r="U37">
        <v>0</v>
      </c>
      <c r="V37">
        <v>0</v>
      </c>
      <c r="W37">
        <v>0</v>
      </c>
      <c r="X37" s="156">
        <f t="shared" si="174"/>
        <v>0</v>
      </c>
      <c r="Y37">
        <v>0</v>
      </c>
      <c r="Z37">
        <v>0</v>
      </c>
      <c r="AA37">
        <v>0</v>
      </c>
      <c r="AB37">
        <v>1</v>
      </c>
      <c r="AC37" s="156">
        <f t="shared" si="175"/>
        <v>1</v>
      </c>
      <c r="AD37">
        <v>0</v>
      </c>
      <c r="AE37">
        <v>0</v>
      </c>
      <c r="AF37">
        <v>0</v>
      </c>
      <c r="AG37">
        <v>0</v>
      </c>
      <c r="AH37">
        <v>0</v>
      </c>
      <c r="AI37" s="154">
        <f>SUM(AD37:AH37)</f>
        <v>0</v>
      </c>
      <c r="AJ37">
        <v>0</v>
      </c>
      <c r="AK37">
        <v>1</v>
      </c>
      <c r="AL37">
        <v>2</v>
      </c>
      <c r="AM37">
        <v>0</v>
      </c>
      <c r="AN37" s="154">
        <f>SUM(AI37:AM37)</f>
        <v>3</v>
      </c>
      <c r="AO37">
        <v>0</v>
      </c>
      <c r="AP37">
        <v>0</v>
      </c>
      <c r="AQ37">
        <v>1</v>
      </c>
      <c r="AR37">
        <v>0</v>
      </c>
      <c r="AS37" s="154">
        <v>1</v>
      </c>
      <c r="AT37">
        <v>1</v>
      </c>
      <c r="AU37">
        <v>2</v>
      </c>
      <c r="AV37">
        <v>0</v>
      </c>
      <c r="AW37">
        <v>0</v>
      </c>
      <c r="AX37">
        <v>1</v>
      </c>
      <c r="AY37" s="154">
        <v>4</v>
      </c>
      <c r="AZ37">
        <v>0</v>
      </c>
      <c r="BA37">
        <v>0</v>
      </c>
      <c r="BB37">
        <v>0</v>
      </c>
      <c r="BC37">
        <v>0</v>
      </c>
      <c r="BD37" s="154">
        <v>0</v>
      </c>
      <c r="BE37">
        <v>0</v>
      </c>
      <c r="BF37">
        <v>0</v>
      </c>
      <c r="BG37">
        <v>0</v>
      </c>
      <c r="BH37">
        <v>0</v>
      </c>
      <c r="BI37">
        <v>0</v>
      </c>
      <c r="BJ37" s="154">
        <v>0</v>
      </c>
      <c r="BK37">
        <v>0</v>
      </c>
      <c r="BL37">
        <v>0</v>
      </c>
      <c r="BM37">
        <v>0</v>
      </c>
      <c r="BN37">
        <v>0</v>
      </c>
      <c r="BO37" s="344">
        <v>0</v>
      </c>
      <c r="BP37" s="344">
        <v>3</v>
      </c>
      <c r="BQ37" s="344">
        <v>0</v>
      </c>
      <c r="BR37" s="344">
        <v>0</v>
      </c>
      <c r="BS37" s="344">
        <v>0</v>
      </c>
      <c r="BT37" s="344">
        <v>3</v>
      </c>
      <c r="BU37" s="154">
        <v>0</v>
      </c>
      <c r="BV37" s="154">
        <v>0</v>
      </c>
      <c r="BW37" s="154">
        <v>0</v>
      </c>
      <c r="BX37" s="154">
        <v>0</v>
      </c>
      <c r="BY37" s="344">
        <v>0</v>
      </c>
      <c r="BZ37" s="154">
        <v>0</v>
      </c>
      <c r="CA37" s="154">
        <v>1</v>
      </c>
      <c r="CB37" s="154">
        <v>0</v>
      </c>
      <c r="CC37" s="154">
        <v>0</v>
      </c>
      <c r="CD37" s="154">
        <v>0</v>
      </c>
      <c r="CE37" s="344">
        <v>0</v>
      </c>
    </row>
    <row r="38" spans="1:83" ht="14.25" customHeight="1">
      <c r="B38" s="56" t="s">
        <v>248</v>
      </c>
      <c r="C38" t="s">
        <v>89</v>
      </c>
      <c r="D38">
        <v>0</v>
      </c>
      <c r="E38">
        <v>0</v>
      </c>
      <c r="F38">
        <v>0</v>
      </c>
      <c r="G38">
        <v>0</v>
      </c>
      <c r="H38" s="154">
        <f t="shared" si="172"/>
        <v>0</v>
      </c>
      <c r="I38">
        <v>0</v>
      </c>
      <c r="J38">
        <v>1</v>
      </c>
      <c r="K38">
        <v>0</v>
      </c>
      <c r="L38">
        <v>0</v>
      </c>
      <c r="M38" s="154">
        <f>SUM(I38:L38)</f>
        <v>1</v>
      </c>
      <c r="N38">
        <v>2</v>
      </c>
      <c r="O38">
        <v>0</v>
      </c>
      <c r="P38">
        <v>1</v>
      </c>
      <c r="Q38">
        <v>0</v>
      </c>
      <c r="R38">
        <v>0</v>
      </c>
      <c r="S38" s="156">
        <f t="shared" si="173"/>
        <v>3</v>
      </c>
      <c r="T38">
        <v>0</v>
      </c>
      <c r="U38">
        <v>0</v>
      </c>
      <c r="V38">
        <v>1</v>
      </c>
      <c r="W38">
        <v>1</v>
      </c>
      <c r="X38" s="156">
        <f t="shared" si="174"/>
        <v>2</v>
      </c>
      <c r="Y38">
        <v>1</v>
      </c>
      <c r="Z38">
        <v>0</v>
      </c>
      <c r="AA38">
        <v>2</v>
      </c>
      <c r="AB38">
        <v>0</v>
      </c>
      <c r="AC38" s="156">
        <f t="shared" si="175"/>
        <v>3</v>
      </c>
      <c r="AD38">
        <v>1</v>
      </c>
      <c r="AE38">
        <v>0</v>
      </c>
      <c r="AF38">
        <v>0</v>
      </c>
      <c r="AG38">
        <v>0</v>
      </c>
      <c r="AH38">
        <v>0</v>
      </c>
      <c r="AI38" s="154">
        <f>SUM(AD38:AH38)</f>
        <v>1</v>
      </c>
      <c r="AJ38">
        <v>1</v>
      </c>
      <c r="AK38">
        <v>0</v>
      </c>
      <c r="AL38">
        <v>1</v>
      </c>
      <c r="AM38">
        <v>3</v>
      </c>
      <c r="AN38" s="154">
        <f>SUM(AI38:AM38)</f>
        <v>6</v>
      </c>
      <c r="AO38">
        <v>4</v>
      </c>
      <c r="AP38">
        <v>1</v>
      </c>
      <c r="AQ38">
        <v>1</v>
      </c>
      <c r="AR38">
        <v>0</v>
      </c>
      <c r="AS38" s="154">
        <v>4</v>
      </c>
      <c r="AT38">
        <v>0</v>
      </c>
      <c r="AU38">
        <v>0</v>
      </c>
      <c r="AV38">
        <v>0</v>
      </c>
      <c r="AW38">
        <v>0</v>
      </c>
      <c r="AX38">
        <v>2</v>
      </c>
      <c r="AY38" s="154">
        <v>2</v>
      </c>
      <c r="AZ38">
        <v>1</v>
      </c>
      <c r="BA38">
        <v>4</v>
      </c>
      <c r="BB38">
        <v>0</v>
      </c>
      <c r="BC38">
        <v>1</v>
      </c>
      <c r="BD38" s="154">
        <v>5</v>
      </c>
      <c r="BE38">
        <v>2</v>
      </c>
      <c r="BF38">
        <v>1</v>
      </c>
      <c r="BG38">
        <v>1</v>
      </c>
      <c r="BH38">
        <v>1</v>
      </c>
      <c r="BI38">
        <v>0</v>
      </c>
      <c r="BJ38" s="154">
        <v>4</v>
      </c>
      <c r="BK38">
        <v>2</v>
      </c>
      <c r="BL38">
        <v>1</v>
      </c>
      <c r="BM38">
        <v>2</v>
      </c>
      <c r="BN38">
        <v>2</v>
      </c>
      <c r="BO38" s="344">
        <v>7</v>
      </c>
      <c r="BP38" s="344">
        <v>1</v>
      </c>
      <c r="BQ38" s="344">
        <v>0</v>
      </c>
      <c r="BR38" s="344">
        <v>3</v>
      </c>
      <c r="BS38" s="344">
        <v>0</v>
      </c>
      <c r="BT38" s="344">
        <v>4</v>
      </c>
      <c r="BU38" s="154">
        <v>2</v>
      </c>
      <c r="BV38" s="154">
        <v>0</v>
      </c>
      <c r="BW38" s="154">
        <v>1</v>
      </c>
      <c r="BX38" s="154">
        <v>0</v>
      </c>
      <c r="BY38" s="344">
        <v>4</v>
      </c>
      <c r="BZ38" s="154">
        <v>0</v>
      </c>
      <c r="CA38" s="154">
        <v>0</v>
      </c>
      <c r="CB38" s="154">
        <v>0</v>
      </c>
      <c r="CC38" s="154">
        <v>1</v>
      </c>
      <c r="CD38" s="154">
        <v>1</v>
      </c>
      <c r="CE38" s="344">
        <v>4</v>
      </c>
    </row>
    <row r="39" spans="1:83" s="11" customFormat="1">
      <c r="A39" s="50" t="s">
        <v>98</v>
      </c>
      <c r="B39" s="54" t="s">
        <v>2</v>
      </c>
      <c r="H39" s="153"/>
      <c r="M39" s="153"/>
      <c r="S39" s="153"/>
      <c r="X39" s="153"/>
      <c r="AC39" s="153"/>
      <c r="AI39" s="153"/>
      <c r="AN39" s="153"/>
      <c r="AS39" s="153"/>
      <c r="AY39" s="153"/>
      <c r="BD39" s="153"/>
      <c r="BJ39" s="153"/>
      <c r="BO39" s="341"/>
      <c r="BP39" s="341"/>
      <c r="BQ39" s="341"/>
      <c r="BR39" s="341"/>
      <c r="BS39" s="341"/>
      <c r="BT39" s="341"/>
      <c r="BU39" s="153"/>
      <c r="BV39" s="153"/>
      <c r="BW39" s="153"/>
      <c r="BX39" s="153"/>
      <c r="BY39" s="341"/>
      <c r="BZ39" s="153"/>
      <c r="CA39" s="153"/>
      <c r="CB39" s="153"/>
      <c r="CC39" s="153"/>
      <c r="CD39" s="153"/>
      <c r="CE39" s="341"/>
    </row>
    <row r="40" spans="1:83" s="125" customFormat="1">
      <c r="A40" s="123"/>
      <c r="B40" s="124"/>
      <c r="C40" s="125" t="s">
        <v>76</v>
      </c>
      <c r="D40" s="125">
        <f>'Company Scorecard'!K50</f>
        <v>546</v>
      </c>
      <c r="E40" s="125">
        <f>'Company Scorecard'!L50</f>
        <v>560</v>
      </c>
      <c r="F40" s="125">
        <f>'Company Scorecard'!M50</f>
        <v>567</v>
      </c>
      <c r="G40" s="125">
        <f>'Company Scorecard'!N50</f>
        <v>574</v>
      </c>
      <c r="H40" s="151">
        <f>'Company Scorecard'!O50</f>
        <v>2214</v>
      </c>
      <c r="I40" s="125">
        <f>'Company Scorecard'!P50</f>
        <v>574</v>
      </c>
      <c r="J40" s="125">
        <f>'Company Scorecard'!Q50</f>
        <v>602</v>
      </c>
      <c r="K40" s="125">
        <f>'Company Scorecard'!R50</f>
        <v>616</v>
      </c>
      <c r="L40" s="125">
        <f>'Company Scorecard'!S50</f>
        <v>616</v>
      </c>
      <c r="M40" s="151">
        <f>'Company Scorecard'!T50</f>
        <v>2634</v>
      </c>
      <c r="N40" s="125">
        <f>'Company Scorecard'!U50</f>
        <v>623</v>
      </c>
      <c r="O40" s="125">
        <f>'Company Scorecard'!V50</f>
        <v>623</v>
      </c>
      <c r="P40" s="125">
        <f>'Company Scorecard'!W50</f>
        <v>637</v>
      </c>
      <c r="Q40" s="125">
        <f>'Company Scorecard'!X50</f>
        <v>644</v>
      </c>
      <c r="R40" s="125">
        <f>'Company Scorecard'!Y50</f>
        <v>616</v>
      </c>
      <c r="S40" s="151">
        <f>'Company Scorecard'!Z50</f>
        <v>2675</v>
      </c>
      <c r="T40" s="125">
        <f>'Company Scorecard'!AA50</f>
        <v>616</v>
      </c>
      <c r="U40" s="125">
        <f>'Company Scorecard'!AB50</f>
        <v>651</v>
      </c>
      <c r="V40" s="125">
        <f>'Company Scorecard'!AC50</f>
        <v>644</v>
      </c>
      <c r="W40" s="125">
        <f>'Company Scorecard'!AD50</f>
        <v>658</v>
      </c>
      <c r="X40" s="151">
        <f>'Company Scorecard'!AE50</f>
        <v>2816</v>
      </c>
      <c r="Y40" s="125">
        <f>'Company Scorecard'!AF50</f>
        <v>651</v>
      </c>
      <c r="Z40" s="125">
        <f>'Company Scorecard'!AG50</f>
        <v>665</v>
      </c>
      <c r="AA40" s="125">
        <f>'Company Scorecard'!AH50</f>
        <v>686</v>
      </c>
      <c r="AB40" s="125">
        <f>'Company Scorecard'!AI50</f>
        <v>686</v>
      </c>
      <c r="AC40" s="151">
        <f>'Company Scorecard'!AJ50</f>
        <v>2945</v>
      </c>
      <c r="AD40" s="125">
        <f>'Company Scorecard'!AK50</f>
        <v>693</v>
      </c>
      <c r="AE40" s="125">
        <f>'Company Scorecard'!AL50</f>
        <v>658</v>
      </c>
      <c r="AI40" s="151">
        <f>'Company Scorecard'!AP50</f>
        <v>3077</v>
      </c>
      <c r="AN40" s="151">
        <f>'Company Scorecard'!AU50</f>
        <v>3164</v>
      </c>
      <c r="AS40" s="151">
        <f>'Company Scorecard'!AZ50</f>
        <v>3260</v>
      </c>
      <c r="AY40" s="151">
        <f>'Company Scorecard'!BF50</f>
        <v>3414</v>
      </c>
      <c r="BD40" s="151">
        <f>'Company Scorecard'!BK50</f>
        <v>3295</v>
      </c>
      <c r="BJ40" s="151">
        <f>'Company Scorecard'!BQ50</f>
        <v>3555</v>
      </c>
      <c r="BO40" s="342">
        <f>'Company Scorecard'!BV50</f>
        <v>3578</v>
      </c>
      <c r="BP40" s="342"/>
      <c r="BQ40" s="342"/>
      <c r="BR40" s="342"/>
      <c r="BS40" s="342"/>
      <c r="BT40" s="342">
        <f>'Company Scorecard'!CA50</f>
        <v>3359</v>
      </c>
      <c r="BU40" s="151"/>
      <c r="BV40" s="151"/>
      <c r="BW40" s="151"/>
      <c r="BX40" s="151"/>
      <c r="BY40" s="342">
        <f>'Company Scorecard'!CF50</f>
        <v>3881</v>
      </c>
      <c r="BZ40" s="151"/>
      <c r="CA40" s="151"/>
      <c r="CB40" s="151"/>
      <c r="CC40" s="151"/>
      <c r="CD40" s="151"/>
      <c r="CE40" s="342">
        <f>'Company Scorecard'!CL50</f>
        <v>3697</v>
      </c>
    </row>
    <row r="41" spans="1:83" s="125" customFormat="1">
      <c r="A41" s="123"/>
      <c r="B41" s="124"/>
      <c r="C41" s="125" t="s">
        <v>77</v>
      </c>
      <c r="D41" s="125">
        <f>'Company Scorecard'!K51</f>
        <v>252</v>
      </c>
      <c r="E41" s="125">
        <f>'Company Scorecard'!L51</f>
        <v>252</v>
      </c>
      <c r="F41" s="125">
        <f>'Company Scorecard'!M51</f>
        <v>266</v>
      </c>
      <c r="G41" s="125">
        <f>'Company Scorecard'!N51</f>
        <v>256.2</v>
      </c>
      <c r="H41" s="151">
        <f>'Company Scorecard'!O51</f>
        <v>1054</v>
      </c>
      <c r="I41" s="125">
        <f>'Company Scorecard'!P51</f>
        <v>253.40000000000003</v>
      </c>
      <c r="J41" s="125">
        <f>'Company Scorecard'!Q51</f>
        <v>238</v>
      </c>
      <c r="K41" s="125">
        <f>'Company Scorecard'!R51</f>
        <v>238</v>
      </c>
      <c r="L41" s="125">
        <f>'Company Scorecard'!S51</f>
        <v>231</v>
      </c>
      <c r="M41" s="151">
        <f>'Company Scorecard'!T51</f>
        <v>1096</v>
      </c>
      <c r="N41" s="125">
        <f>'Company Scorecard'!U51</f>
        <v>224</v>
      </c>
      <c r="O41" s="125">
        <f>'Company Scorecard'!V51</f>
        <v>224</v>
      </c>
      <c r="P41" s="125">
        <f>'Company Scorecard'!W51</f>
        <v>224</v>
      </c>
      <c r="Q41" s="125">
        <f>'Company Scorecard'!X51</f>
        <v>231</v>
      </c>
      <c r="R41" s="125">
        <f>'Company Scorecard'!Y51</f>
        <v>231</v>
      </c>
      <c r="S41" s="151">
        <f>'Company Scorecard'!Z51</f>
        <v>999</v>
      </c>
      <c r="T41" s="125">
        <f>'Company Scorecard'!AA51</f>
        <v>217</v>
      </c>
      <c r="U41" s="125">
        <f>'Company Scorecard'!AB51</f>
        <v>217</v>
      </c>
      <c r="V41" s="125">
        <f>'Company Scorecard'!AC51</f>
        <v>231</v>
      </c>
      <c r="W41" s="125">
        <f>'Company Scorecard'!AD51</f>
        <v>245</v>
      </c>
      <c r="X41" s="151">
        <f>'Company Scorecard'!AE51</f>
        <v>1048</v>
      </c>
      <c r="Y41" s="125">
        <f>'Company Scorecard'!AF51</f>
        <v>245</v>
      </c>
      <c r="Z41" s="125">
        <f>'Company Scorecard'!AG51</f>
        <v>259</v>
      </c>
      <c r="AA41" s="125">
        <f>'Company Scorecard'!AH51</f>
        <v>259</v>
      </c>
      <c r="AB41" s="125">
        <f>'Company Scorecard'!AI51</f>
        <v>266</v>
      </c>
      <c r="AC41" s="151">
        <f>'Company Scorecard'!AJ51</f>
        <v>1132</v>
      </c>
      <c r="AD41" s="125">
        <f>'Company Scorecard'!AK51</f>
        <v>259</v>
      </c>
      <c r="AE41" s="125">
        <f>'Company Scorecard'!AL51</f>
        <v>273</v>
      </c>
      <c r="AI41" s="151">
        <f>'Company Scorecard'!AP51</f>
        <v>1236</v>
      </c>
      <c r="AN41" s="151">
        <f>'Company Scorecard'!AU51</f>
        <v>1395</v>
      </c>
      <c r="AS41" s="151">
        <f>'Company Scorecard'!AZ51</f>
        <v>1399</v>
      </c>
      <c r="AY41" s="151">
        <f>'Company Scorecard'!BF51</f>
        <v>1387</v>
      </c>
      <c r="BD41" s="151">
        <f>'Company Scorecard'!BK51</f>
        <v>1312</v>
      </c>
      <c r="BJ41" s="151">
        <f>'Company Scorecard'!BQ51</f>
        <v>1340</v>
      </c>
      <c r="BO41" s="342">
        <f>'Company Scorecard'!BV51</f>
        <v>1240</v>
      </c>
      <c r="BP41" s="342"/>
      <c r="BQ41" s="342"/>
      <c r="BR41" s="342"/>
      <c r="BS41" s="342"/>
      <c r="BT41" s="342">
        <f>'Company Scorecard'!CA51</f>
        <v>1157</v>
      </c>
      <c r="BU41" s="151"/>
      <c r="BV41" s="151"/>
      <c r="BW41" s="151"/>
      <c r="BX41" s="151"/>
      <c r="BY41" s="342">
        <f>'Company Scorecard'!CF51</f>
        <v>1393</v>
      </c>
      <c r="BZ41" s="151"/>
      <c r="CA41" s="151"/>
      <c r="CB41" s="151"/>
      <c r="CC41" s="151"/>
      <c r="CD41" s="151"/>
      <c r="CE41" s="342">
        <f>'Company Scorecard'!CL51</f>
        <v>1443</v>
      </c>
    </row>
    <row r="42" spans="1:83" s="125" customFormat="1">
      <c r="A42" s="123"/>
      <c r="B42" s="124"/>
      <c r="C42" s="125" t="s">
        <v>78</v>
      </c>
      <c r="D42" s="125">
        <f>'Company Scorecard'!K52</f>
        <v>171.5</v>
      </c>
      <c r="E42" s="125">
        <f>'Company Scorecard'!L52</f>
        <v>175</v>
      </c>
      <c r="F42" s="125">
        <f>'Company Scorecard'!M52</f>
        <v>168</v>
      </c>
      <c r="G42" s="125">
        <f>'Company Scorecard'!N52</f>
        <v>182</v>
      </c>
      <c r="H42" s="151">
        <f>'Company Scorecard'!O52</f>
        <v>680</v>
      </c>
      <c r="I42" s="125">
        <f>'Company Scorecard'!P52</f>
        <v>166.6</v>
      </c>
      <c r="J42" s="125">
        <f>'Company Scorecard'!Q52</f>
        <v>175</v>
      </c>
      <c r="K42" s="125">
        <f>'Company Scorecard'!R52</f>
        <v>182</v>
      </c>
      <c r="L42" s="125">
        <f>'Company Scorecard'!S52</f>
        <v>189</v>
      </c>
      <c r="M42" s="151">
        <f>'Company Scorecard'!T52</f>
        <v>770</v>
      </c>
      <c r="N42" s="125">
        <f>'Company Scorecard'!U52</f>
        <v>203</v>
      </c>
      <c r="O42" s="125">
        <f>'Company Scorecard'!V52</f>
        <v>210</v>
      </c>
      <c r="P42" s="125">
        <f>'Company Scorecard'!W52</f>
        <v>196</v>
      </c>
      <c r="Q42" s="125">
        <f>'Company Scorecard'!X52</f>
        <v>196</v>
      </c>
      <c r="R42" s="125">
        <f>'Company Scorecard'!Y52</f>
        <v>189</v>
      </c>
      <c r="S42" s="151">
        <f>'Company Scorecard'!Z52</f>
        <v>864</v>
      </c>
      <c r="T42" s="125">
        <f>'Company Scorecard'!AA52</f>
        <v>189</v>
      </c>
      <c r="U42" s="125">
        <f>'Company Scorecard'!AB52</f>
        <v>203</v>
      </c>
      <c r="V42" s="125">
        <f>'Company Scorecard'!AC52</f>
        <v>217</v>
      </c>
      <c r="W42" s="125">
        <f>'Company Scorecard'!AD52</f>
        <v>217</v>
      </c>
      <c r="X42" s="151">
        <f>'Company Scorecard'!AE52</f>
        <v>958</v>
      </c>
      <c r="Y42" s="125">
        <f>'Company Scorecard'!AF52</f>
        <v>217</v>
      </c>
      <c r="Z42" s="125">
        <f>'Company Scorecard'!AG52</f>
        <v>224</v>
      </c>
      <c r="AA42" s="125">
        <f>'Company Scorecard'!AH52</f>
        <v>245</v>
      </c>
      <c r="AB42" s="125">
        <f>'Company Scorecard'!AI52</f>
        <v>238</v>
      </c>
      <c r="AC42" s="151">
        <f>'Company Scorecard'!AJ52</f>
        <v>1078</v>
      </c>
      <c r="AD42" s="125">
        <f>'Company Scorecard'!AK52</f>
        <v>238</v>
      </c>
      <c r="AE42" s="125">
        <f>'Company Scorecard'!AL52</f>
        <v>231</v>
      </c>
      <c r="AI42" s="151">
        <f>'Company Scorecard'!AP52</f>
        <v>1162</v>
      </c>
      <c r="AN42" s="151">
        <f>'Company Scorecard'!AU52</f>
        <v>1149</v>
      </c>
      <c r="AS42" s="151">
        <f>'Company Scorecard'!AZ52</f>
        <v>927</v>
      </c>
      <c r="AY42" s="151">
        <f>'Company Scorecard'!BF52</f>
        <v>773</v>
      </c>
      <c r="BD42" s="151">
        <f>'Company Scorecard'!BK52</f>
        <v>707</v>
      </c>
      <c r="BJ42" s="151">
        <f>'Company Scorecard'!BQ52</f>
        <v>741</v>
      </c>
      <c r="BO42" s="342">
        <f>'Company Scorecard'!BV52</f>
        <v>756</v>
      </c>
      <c r="BP42" s="342"/>
      <c r="BQ42" s="342"/>
      <c r="BR42" s="342"/>
      <c r="BS42" s="342"/>
      <c r="BT42" s="342">
        <f>'Company Scorecard'!CA52</f>
        <v>549</v>
      </c>
      <c r="BU42" s="151"/>
      <c r="BV42" s="151"/>
      <c r="BW42" s="151"/>
      <c r="BX42" s="151"/>
      <c r="BY42" s="342">
        <f>'Company Scorecard'!CF52</f>
        <v>561</v>
      </c>
      <c r="BZ42" s="151"/>
      <c r="CA42" s="151"/>
      <c r="CB42" s="151"/>
      <c r="CC42" s="151"/>
      <c r="CD42" s="151"/>
      <c r="CE42" s="342">
        <f>'Company Scorecard'!CL52</f>
        <v>566</v>
      </c>
    </row>
    <row r="43" spans="1:83" s="125" customFormat="1">
      <c r="A43" s="123"/>
      <c r="B43" s="124"/>
      <c r="C43" s="125" t="s">
        <v>89</v>
      </c>
      <c r="D43" s="125">
        <f>'Company Scorecard'!K53</f>
        <v>525</v>
      </c>
      <c r="E43" s="125">
        <f>'Company Scorecard'!L53</f>
        <v>518</v>
      </c>
      <c r="F43" s="125">
        <f>'Company Scorecard'!M53</f>
        <v>518</v>
      </c>
      <c r="G43" s="125">
        <f>'Company Scorecard'!N53</f>
        <v>518</v>
      </c>
      <c r="H43" s="151">
        <f>'Company Scorecard'!O53</f>
        <v>1990.7999999999997</v>
      </c>
      <c r="I43" s="125">
        <f>'Company Scorecard'!P53</f>
        <v>567</v>
      </c>
      <c r="J43" s="125">
        <f>'Company Scorecard'!Q53</f>
        <v>602</v>
      </c>
      <c r="K43" s="125">
        <f>'Company Scorecard'!R53</f>
        <v>588</v>
      </c>
      <c r="L43" s="125">
        <f>'Company Scorecard'!S53</f>
        <v>581</v>
      </c>
      <c r="M43" s="151">
        <f>'Company Scorecard'!T53</f>
        <v>2573</v>
      </c>
      <c r="N43" s="125">
        <f>'Company Scorecard'!U53</f>
        <v>574</v>
      </c>
      <c r="O43" s="125">
        <f>'Company Scorecard'!V53</f>
        <v>595</v>
      </c>
      <c r="P43" s="125">
        <f>'Company Scorecard'!W53</f>
        <v>616</v>
      </c>
      <c r="Q43" s="125">
        <f>'Company Scorecard'!X53</f>
        <v>623</v>
      </c>
      <c r="R43" s="125">
        <f>'Company Scorecard'!Y53</f>
        <v>644</v>
      </c>
      <c r="S43" s="151">
        <f>'Company Scorecard'!Z53</f>
        <v>2588</v>
      </c>
      <c r="T43" s="125">
        <f>'Company Scorecard'!AA53</f>
        <v>623</v>
      </c>
      <c r="U43" s="125">
        <f>'Company Scorecard'!AB53</f>
        <v>630</v>
      </c>
      <c r="V43" s="125">
        <f>'Company Scorecard'!AC53</f>
        <v>651</v>
      </c>
      <c r="W43" s="125">
        <f>'Company Scorecard'!AD53</f>
        <v>686</v>
      </c>
      <c r="X43" s="151">
        <f>'Company Scorecard'!AE53</f>
        <v>2869</v>
      </c>
      <c r="Y43" s="125">
        <f>'Company Scorecard'!AF53</f>
        <v>700</v>
      </c>
      <c r="Z43" s="125">
        <f>'Company Scorecard'!AG53</f>
        <v>700</v>
      </c>
      <c r="AA43" s="125">
        <f>'Company Scorecard'!AH53</f>
        <v>686</v>
      </c>
      <c r="AB43" s="125">
        <f>'Company Scorecard'!AI53</f>
        <v>679</v>
      </c>
      <c r="AC43" s="151">
        <f>'Company Scorecard'!AJ53</f>
        <v>2949</v>
      </c>
      <c r="AD43" s="125">
        <f>'Company Scorecard'!AK53</f>
        <v>665</v>
      </c>
      <c r="AE43" s="125">
        <f>'Company Scorecard'!AL53</f>
        <v>672</v>
      </c>
      <c r="AI43" s="151">
        <f>'Company Scorecard'!AP53</f>
        <v>3013</v>
      </c>
      <c r="AN43" s="151">
        <f>'Company Scorecard'!AU53</f>
        <v>3054</v>
      </c>
      <c r="AS43" s="151">
        <f>'Company Scorecard'!AZ53</f>
        <v>2690</v>
      </c>
      <c r="AY43" s="151">
        <f>'Company Scorecard'!BF53</f>
        <v>2834</v>
      </c>
      <c r="BD43" s="151">
        <f>'Company Scorecard'!BK53</f>
        <v>2756</v>
      </c>
      <c r="BJ43" s="151">
        <f>'Company Scorecard'!BQ53</f>
        <v>2915</v>
      </c>
      <c r="BO43" s="342">
        <f>'Company Scorecard'!BV53</f>
        <v>3019</v>
      </c>
      <c r="BP43" s="342"/>
      <c r="BQ43" s="342"/>
      <c r="BR43" s="342"/>
      <c r="BS43" s="342"/>
      <c r="BT43" s="342">
        <f>'Company Scorecard'!CA53</f>
        <v>2756</v>
      </c>
      <c r="BU43" s="151"/>
      <c r="BV43" s="151"/>
      <c r="BW43" s="151"/>
      <c r="BX43" s="151"/>
      <c r="BY43" s="342">
        <f>'Company Scorecard'!CF53</f>
        <v>2873</v>
      </c>
      <c r="BZ43" s="151"/>
      <c r="CA43" s="151"/>
      <c r="CB43" s="151"/>
      <c r="CC43" s="151"/>
      <c r="CD43" s="151"/>
      <c r="CE43" s="342">
        <f>'Company Scorecard'!CL53</f>
        <v>2561</v>
      </c>
    </row>
    <row r="44" spans="1:83" s="125" customFormat="1">
      <c r="A44" s="123"/>
      <c r="B44" s="124"/>
      <c r="C44" s="125" t="s">
        <v>249</v>
      </c>
      <c r="H44" s="151"/>
      <c r="M44" s="152">
        <f>SUM(M40:M43)</f>
        <v>7073</v>
      </c>
      <c r="N44" s="152">
        <f t="shared" ref="N44:BT44" si="176">SUM(N40:N43)</f>
        <v>1624</v>
      </c>
      <c r="O44" s="152">
        <f t="shared" si="176"/>
        <v>1652</v>
      </c>
      <c r="P44" s="152">
        <f t="shared" si="176"/>
        <v>1673</v>
      </c>
      <c r="Q44" s="152">
        <f t="shared" si="176"/>
        <v>1694</v>
      </c>
      <c r="R44" s="152">
        <f t="shared" si="176"/>
        <v>1680</v>
      </c>
      <c r="S44" s="152">
        <f t="shared" si="176"/>
        <v>7126</v>
      </c>
      <c r="T44" s="152">
        <f t="shared" si="176"/>
        <v>1645</v>
      </c>
      <c r="U44" s="152">
        <f t="shared" si="176"/>
        <v>1701</v>
      </c>
      <c r="V44" s="152">
        <f t="shared" si="176"/>
        <v>1743</v>
      </c>
      <c r="W44" s="152">
        <f t="shared" si="176"/>
        <v>1806</v>
      </c>
      <c r="X44" s="152">
        <f t="shared" si="176"/>
        <v>7691</v>
      </c>
      <c r="Y44" s="152">
        <f t="shared" si="176"/>
        <v>1813</v>
      </c>
      <c r="Z44" s="152">
        <f t="shared" si="176"/>
        <v>1848</v>
      </c>
      <c r="AA44" s="152">
        <f t="shared" si="176"/>
        <v>1876</v>
      </c>
      <c r="AB44" s="152">
        <f t="shared" si="176"/>
        <v>1869</v>
      </c>
      <c r="AC44" s="152">
        <f t="shared" si="176"/>
        <v>8104</v>
      </c>
      <c r="AD44" s="152">
        <f t="shared" si="176"/>
        <v>1855</v>
      </c>
      <c r="AE44" s="152">
        <f t="shared" si="176"/>
        <v>1834</v>
      </c>
      <c r="AF44" s="152">
        <f t="shared" si="176"/>
        <v>0</v>
      </c>
      <c r="AG44" s="152">
        <f t="shared" si="176"/>
        <v>0</v>
      </c>
      <c r="AH44" s="152">
        <f t="shared" si="176"/>
        <v>0</v>
      </c>
      <c r="AI44" s="152">
        <f t="shared" si="176"/>
        <v>8488</v>
      </c>
      <c r="AJ44" s="152">
        <f t="shared" si="176"/>
        <v>0</v>
      </c>
      <c r="AK44" s="152">
        <f t="shared" si="176"/>
        <v>0</v>
      </c>
      <c r="AL44" s="152">
        <f t="shared" si="176"/>
        <v>0</v>
      </c>
      <c r="AM44" s="152">
        <f t="shared" si="176"/>
        <v>0</v>
      </c>
      <c r="AN44" s="152">
        <f t="shared" si="176"/>
        <v>8762</v>
      </c>
      <c r="AO44" s="152">
        <f t="shared" si="176"/>
        <v>0</v>
      </c>
      <c r="AP44" s="152">
        <f t="shared" si="176"/>
        <v>0</v>
      </c>
      <c r="AQ44" s="152">
        <f t="shared" si="176"/>
        <v>0</v>
      </c>
      <c r="AR44" s="152">
        <f t="shared" si="176"/>
        <v>0</v>
      </c>
      <c r="AS44" s="152">
        <f t="shared" si="176"/>
        <v>8276</v>
      </c>
      <c r="AT44" s="152">
        <f t="shared" si="176"/>
        <v>0</v>
      </c>
      <c r="AU44" s="152">
        <f t="shared" si="176"/>
        <v>0</v>
      </c>
      <c r="AV44" s="152">
        <f t="shared" si="176"/>
        <v>0</v>
      </c>
      <c r="AW44" s="152">
        <f t="shared" si="176"/>
        <v>0</v>
      </c>
      <c r="AX44" s="152">
        <f t="shared" si="176"/>
        <v>0</v>
      </c>
      <c r="AY44" s="152">
        <f t="shared" si="176"/>
        <v>8408</v>
      </c>
      <c r="AZ44" s="152">
        <f t="shared" si="176"/>
        <v>0</v>
      </c>
      <c r="BA44" s="152">
        <f t="shared" si="176"/>
        <v>0</v>
      </c>
      <c r="BB44" s="152">
        <f t="shared" si="176"/>
        <v>0</v>
      </c>
      <c r="BC44" s="152">
        <f t="shared" si="176"/>
        <v>0</v>
      </c>
      <c r="BD44" s="152">
        <f t="shared" si="176"/>
        <v>8070</v>
      </c>
      <c r="BE44" s="152">
        <f t="shared" si="176"/>
        <v>0</v>
      </c>
      <c r="BF44" s="152">
        <f t="shared" si="176"/>
        <v>0</v>
      </c>
      <c r="BG44" s="152">
        <f t="shared" si="176"/>
        <v>0</v>
      </c>
      <c r="BH44" s="152">
        <f t="shared" si="176"/>
        <v>0</v>
      </c>
      <c r="BI44" s="152">
        <f t="shared" si="176"/>
        <v>0</v>
      </c>
      <c r="BJ44" s="152">
        <f t="shared" si="176"/>
        <v>8551</v>
      </c>
      <c r="BK44" s="152">
        <f t="shared" si="176"/>
        <v>0</v>
      </c>
      <c r="BL44" s="152">
        <f t="shared" si="176"/>
        <v>0</v>
      </c>
      <c r="BM44" s="152">
        <f t="shared" si="176"/>
        <v>0</v>
      </c>
      <c r="BN44" s="152">
        <f t="shared" si="176"/>
        <v>0</v>
      </c>
      <c r="BO44" s="343">
        <f t="shared" si="176"/>
        <v>8593</v>
      </c>
      <c r="BP44" s="343">
        <f t="shared" si="176"/>
        <v>0</v>
      </c>
      <c r="BQ44" s="343">
        <f t="shared" si="176"/>
        <v>0</v>
      </c>
      <c r="BR44" s="343">
        <f t="shared" si="176"/>
        <v>0</v>
      </c>
      <c r="BS44" s="343">
        <f t="shared" si="176"/>
        <v>0</v>
      </c>
      <c r="BT44" s="343">
        <f t="shared" si="176"/>
        <v>7821</v>
      </c>
      <c r="BU44" s="151"/>
      <c r="BV44" s="151"/>
      <c r="BW44" s="151"/>
      <c r="BX44" s="151"/>
      <c r="BY44" s="343">
        <f t="shared" ref="BY44" si="177">SUM(BY40:BY43)</f>
        <v>8708</v>
      </c>
      <c r="BZ44" s="151"/>
      <c r="CA44" s="151"/>
      <c r="CB44" s="151"/>
      <c r="CC44" s="151"/>
      <c r="CD44" s="151"/>
      <c r="CE44" s="343">
        <f t="shared" ref="CE44" si="178">SUM(CE40:CE43)</f>
        <v>8267</v>
      </c>
    </row>
    <row r="45" spans="1:83" s="11" customFormat="1">
      <c r="A45" s="50" t="s">
        <v>250</v>
      </c>
      <c r="B45" s="54" t="s">
        <v>2</v>
      </c>
      <c r="H45" s="153"/>
      <c r="M45" s="153"/>
      <c r="S45" s="153"/>
      <c r="X45" s="153"/>
      <c r="AC45" s="153"/>
      <c r="AI45" s="153"/>
      <c r="AN45" s="153"/>
      <c r="AS45" s="153"/>
      <c r="AY45" s="153"/>
      <c r="BD45" s="153"/>
      <c r="BJ45" s="153"/>
      <c r="BO45" s="341"/>
      <c r="BP45" s="341"/>
      <c r="BQ45" s="341"/>
      <c r="BR45" s="341"/>
      <c r="BS45" s="341"/>
      <c r="BT45" s="341"/>
      <c r="BU45" s="153"/>
      <c r="BV45" s="153"/>
      <c r="BW45" s="153"/>
      <c r="BX45" s="153"/>
      <c r="BY45" s="341"/>
      <c r="BZ45" s="153"/>
      <c r="CA45" s="153"/>
      <c r="CB45" s="153"/>
      <c r="CC45" s="153"/>
      <c r="CD45" s="153"/>
      <c r="CE45" s="341"/>
    </row>
    <row r="46" spans="1:83">
      <c r="A46" s="39" t="s">
        <v>251</v>
      </c>
      <c r="B46" s="56" t="s">
        <v>252</v>
      </c>
      <c r="C46" t="s">
        <v>76</v>
      </c>
      <c r="D46" s="29">
        <f>'Company Scorecard'!K60</f>
        <v>291.62</v>
      </c>
      <c r="E46" s="29">
        <f>'Company Scorecard'!L60</f>
        <v>277.32</v>
      </c>
      <c r="F46" s="29">
        <f>'Company Scorecard'!M60</f>
        <v>265.02999999999997</v>
      </c>
      <c r="G46" s="29">
        <f>'Company Scorecard'!N60</f>
        <v>270.69</v>
      </c>
      <c r="H46" s="156"/>
      <c r="I46" s="29">
        <f>'Company Scorecard'!P60</f>
        <v>272.45</v>
      </c>
      <c r="J46" s="29">
        <f>'Company Scorecard'!Q60</f>
        <v>262.95</v>
      </c>
      <c r="K46" s="29">
        <f>'Company Scorecard'!R60</f>
        <v>260.29000000000002</v>
      </c>
      <c r="L46" s="29">
        <f>'Company Scorecard'!S60</f>
        <v>247.36</v>
      </c>
      <c r="M46" s="156"/>
      <c r="N46" s="29">
        <f>'Company Scorecard'!U60</f>
        <v>245.25</v>
      </c>
      <c r="O46" s="29">
        <f>'Company Scorecard'!V60</f>
        <v>247.39</v>
      </c>
      <c r="P46" s="29">
        <f>'Company Scorecard'!W60</f>
        <v>242.62</v>
      </c>
      <c r="Q46" s="29">
        <f>'Company Scorecard'!X60</f>
        <v>251.91</v>
      </c>
      <c r="R46" s="29">
        <f>'Company Scorecard'!Y60</f>
        <v>262.32</v>
      </c>
      <c r="S46" s="156"/>
      <c r="T46" s="29">
        <f>'Company Scorecard'!AA60</f>
        <v>248.15</v>
      </c>
      <c r="U46" s="29">
        <f>'Company Scorecard'!AB60</f>
        <v>231.11</v>
      </c>
      <c r="V46" s="29">
        <f>'Company Scorecard'!AC60</f>
        <v>235.23</v>
      </c>
      <c r="W46" s="29">
        <f>'Company Scorecard'!AD60</f>
        <v>238.79</v>
      </c>
      <c r="X46" s="154"/>
      <c r="Y46" s="29"/>
      <c r="Z46" s="29"/>
      <c r="AA46" s="29"/>
      <c r="AB46" s="29"/>
      <c r="AC46" s="154"/>
      <c r="AD46" s="29"/>
      <c r="AE46" s="29"/>
      <c r="AF46" s="29"/>
      <c r="AG46" s="29"/>
      <c r="AI46" s="154"/>
      <c r="AN46" s="154"/>
      <c r="AS46" s="154"/>
      <c r="AY46" s="156">
        <v>38</v>
      </c>
      <c r="BD46" s="156">
        <v>20</v>
      </c>
      <c r="BJ46" s="352">
        <v>17</v>
      </c>
      <c r="BO46" s="346">
        <v>50</v>
      </c>
      <c r="BP46" s="344"/>
      <c r="BQ46" s="344"/>
      <c r="BR46" s="344"/>
      <c r="BS46" s="344"/>
      <c r="BT46" s="346">
        <v>23.5</v>
      </c>
      <c r="BU46" s="156">
        <v>50.5</v>
      </c>
      <c r="BV46" s="156">
        <v>12</v>
      </c>
      <c r="BW46" s="156">
        <v>37</v>
      </c>
      <c r="BX46" s="156">
        <v>85</v>
      </c>
      <c r="BY46" s="346">
        <v>37</v>
      </c>
      <c r="BZ46" s="156">
        <v>0</v>
      </c>
      <c r="CA46" s="156">
        <v>9</v>
      </c>
      <c r="CB46" s="156">
        <v>17.5</v>
      </c>
      <c r="CC46" s="156">
        <v>48</v>
      </c>
      <c r="CD46" s="156">
        <v>82.5</v>
      </c>
      <c r="CE46" s="346">
        <v>31</v>
      </c>
    </row>
    <row r="47" spans="1:83">
      <c r="B47" s="56" t="s">
        <v>252</v>
      </c>
      <c r="C47" t="s">
        <v>77</v>
      </c>
      <c r="D47" s="29">
        <f>'Company Scorecard'!K61</f>
        <v>264.14</v>
      </c>
      <c r="E47" s="29">
        <f>'Company Scorecard'!L61</f>
        <v>270.89</v>
      </c>
      <c r="F47" s="29">
        <f>'Company Scorecard'!M61</f>
        <v>270.68</v>
      </c>
      <c r="G47" s="29">
        <f>'Company Scorecard'!N61</f>
        <v>284.54000000000002</v>
      </c>
      <c r="H47" s="156"/>
      <c r="I47" s="29">
        <f>'Company Scorecard'!P61</f>
        <v>298.36</v>
      </c>
      <c r="J47" s="29">
        <f>'Company Scorecard'!Q61</f>
        <v>295.83999999999997</v>
      </c>
      <c r="K47" s="29">
        <f>'Company Scorecard'!R61</f>
        <v>305.70999999999998</v>
      </c>
      <c r="L47" s="29">
        <f>'Company Scorecard'!S61</f>
        <v>295.14</v>
      </c>
      <c r="M47" s="156"/>
      <c r="N47" s="29">
        <f>'Company Scorecard'!U61</f>
        <v>318.27</v>
      </c>
      <c r="O47" s="29">
        <f>'Company Scorecard'!V61</f>
        <v>311.18</v>
      </c>
      <c r="P47" s="29">
        <f>'Company Scorecard'!W61</f>
        <v>322.24</v>
      </c>
      <c r="Q47" s="29">
        <f>'Company Scorecard'!X61</f>
        <v>329</v>
      </c>
      <c r="R47" s="29">
        <f>'Company Scorecard'!Y61</f>
        <v>326.08999999999997</v>
      </c>
      <c r="S47" s="156"/>
      <c r="T47" s="29">
        <f>'Company Scorecard'!AA61</f>
        <v>351.75</v>
      </c>
      <c r="U47" s="29">
        <f>'Company Scorecard'!AB61</f>
        <v>344.52</v>
      </c>
      <c r="V47" s="29">
        <f>'Company Scorecard'!AC61</f>
        <v>329.71</v>
      </c>
      <c r="W47" s="29">
        <f>'Company Scorecard'!AD61</f>
        <v>336.71</v>
      </c>
      <c r="X47" s="154"/>
      <c r="Y47" s="29"/>
      <c r="Z47" s="29"/>
      <c r="AA47" s="29"/>
      <c r="AB47" s="29"/>
      <c r="AC47" s="154"/>
      <c r="AD47" s="29"/>
      <c r="AE47" s="29"/>
      <c r="AF47" s="29"/>
      <c r="AG47" s="29"/>
      <c r="AI47" s="154"/>
      <c r="AN47" s="154"/>
      <c r="AS47" s="154"/>
      <c r="AY47" s="156">
        <v>10</v>
      </c>
      <c r="BD47" s="156">
        <v>35</v>
      </c>
      <c r="BJ47" s="352">
        <v>12.5</v>
      </c>
      <c r="BO47" s="346">
        <v>43</v>
      </c>
      <c r="BP47" s="344"/>
      <c r="BQ47" s="344"/>
      <c r="BR47" s="344"/>
      <c r="BS47" s="344"/>
      <c r="BT47" s="346">
        <v>105</v>
      </c>
      <c r="BU47" s="156">
        <v>6</v>
      </c>
      <c r="BV47" s="156">
        <v>0</v>
      </c>
      <c r="BW47" s="156">
        <v>22</v>
      </c>
      <c r="BX47" s="156">
        <v>4</v>
      </c>
      <c r="BY47" s="360">
        <v>5.5</v>
      </c>
      <c r="BZ47" s="156">
        <v>0</v>
      </c>
      <c r="CA47" s="156">
        <v>59</v>
      </c>
      <c r="CB47" s="156">
        <v>62</v>
      </c>
      <c r="CC47" s="156">
        <v>470.5</v>
      </c>
      <c r="CD47" s="156">
        <v>64</v>
      </c>
      <c r="CE47" s="346">
        <v>64</v>
      </c>
    </row>
    <row r="48" spans="1:83">
      <c r="B48" s="56" t="s">
        <v>252</v>
      </c>
      <c r="C48" t="s">
        <v>78</v>
      </c>
      <c r="D48" s="29">
        <f>'Company Scorecard'!K62</f>
        <v>174.74</v>
      </c>
      <c r="E48" s="29">
        <f>'Company Scorecard'!L62</f>
        <v>184.52</v>
      </c>
      <c r="F48" s="29">
        <f>'Company Scorecard'!M62</f>
        <v>180.24</v>
      </c>
      <c r="G48" s="29">
        <f>'Company Scorecard'!N62</f>
        <v>179.27</v>
      </c>
      <c r="H48" s="156"/>
      <c r="I48" s="29">
        <f>'Company Scorecard'!P62</f>
        <v>200.04</v>
      </c>
      <c r="J48" s="29">
        <f>'Company Scorecard'!Q62</f>
        <v>182.65</v>
      </c>
      <c r="K48" s="29">
        <f>'Company Scorecard'!R62</f>
        <v>188.85</v>
      </c>
      <c r="L48" s="29">
        <f>'Company Scorecard'!S62</f>
        <v>181.75</v>
      </c>
      <c r="M48" s="156"/>
      <c r="N48" s="29">
        <f>'Company Scorecard'!U62</f>
        <v>175.73</v>
      </c>
      <c r="O48" s="29">
        <f>'Company Scorecard'!V62</f>
        <v>174.35</v>
      </c>
      <c r="P48" s="29">
        <f>'Company Scorecard'!W62</f>
        <v>191.48</v>
      </c>
      <c r="Q48" s="29">
        <f>'Company Scorecard'!X62</f>
        <v>200.61</v>
      </c>
      <c r="R48" s="29">
        <f>'Company Scorecard'!Y62</f>
        <v>214.37</v>
      </c>
      <c r="S48" s="156"/>
      <c r="T48" s="29">
        <f>'Company Scorecard'!AA62</f>
        <v>221.37</v>
      </c>
      <c r="U48" s="29">
        <f>'Company Scorecard'!AB62</f>
        <v>205.9</v>
      </c>
      <c r="V48" s="29">
        <f>'Company Scorecard'!AC62</f>
        <v>199.72</v>
      </c>
      <c r="W48" s="29">
        <f>'Company Scorecard'!AD62</f>
        <v>213.1</v>
      </c>
      <c r="X48" s="154"/>
      <c r="Y48" s="29"/>
      <c r="Z48" s="29"/>
      <c r="AA48" s="29"/>
      <c r="AB48" s="29"/>
      <c r="AC48" s="154"/>
      <c r="AD48" s="29"/>
      <c r="AE48" s="29"/>
      <c r="AF48" s="29"/>
      <c r="AG48" s="29"/>
      <c r="AI48" s="154"/>
      <c r="AN48" s="154"/>
      <c r="AS48" s="154"/>
      <c r="AY48" s="156">
        <v>26</v>
      </c>
      <c r="BD48" s="156">
        <v>51</v>
      </c>
      <c r="BJ48" s="352">
        <v>203.5</v>
      </c>
      <c r="BO48" s="346">
        <v>164.5</v>
      </c>
      <c r="BP48" s="344"/>
      <c r="BQ48" s="344"/>
      <c r="BR48" s="344"/>
      <c r="BS48" s="344"/>
      <c r="BT48" s="346">
        <v>77</v>
      </c>
      <c r="BU48" s="156">
        <v>0</v>
      </c>
      <c r="BV48" s="156">
        <v>0</v>
      </c>
      <c r="BW48" s="156">
        <v>0</v>
      </c>
      <c r="BX48" s="156">
        <v>9</v>
      </c>
      <c r="BY48" s="346">
        <v>135.5</v>
      </c>
      <c r="BZ48" s="156">
        <v>262</v>
      </c>
      <c r="CA48" s="156">
        <v>6</v>
      </c>
      <c r="CB48" s="156">
        <v>0</v>
      </c>
      <c r="CC48" s="156">
        <v>0</v>
      </c>
      <c r="CD48" s="156">
        <v>31</v>
      </c>
      <c r="CE48" s="360">
        <v>18.5</v>
      </c>
    </row>
    <row r="49" spans="1:83">
      <c r="B49" s="56" t="s">
        <v>252</v>
      </c>
      <c r="C49" t="s">
        <v>89</v>
      </c>
      <c r="D49" s="29">
        <f>'Company Scorecard'!K63</f>
        <v>73.010000000000005</v>
      </c>
      <c r="E49" s="29">
        <f>'Company Scorecard'!L63</f>
        <v>75.760000000000005</v>
      </c>
      <c r="F49" s="29">
        <f>'Company Scorecard'!M63</f>
        <v>76.84</v>
      </c>
      <c r="G49" s="29">
        <f>'Company Scorecard'!N63</f>
        <v>84.5</v>
      </c>
      <c r="H49" s="156"/>
      <c r="I49" s="29">
        <f>'Company Scorecard'!P63</f>
        <v>83.22</v>
      </c>
      <c r="J49" s="29">
        <f>'Company Scorecard'!Q63</f>
        <v>81.099999999999994</v>
      </c>
      <c r="K49" s="29">
        <f>'Company Scorecard'!R63</f>
        <v>89.18</v>
      </c>
      <c r="L49" s="29">
        <f>'Company Scorecard'!S63</f>
        <v>92.43</v>
      </c>
      <c r="M49" s="156"/>
      <c r="N49" s="29">
        <f>'Company Scorecard'!U63</f>
        <v>86.58</v>
      </c>
      <c r="O49" s="29">
        <f>'Company Scorecard'!V63</f>
        <v>90.64</v>
      </c>
      <c r="P49" s="29">
        <f>'Company Scorecard'!W63</f>
        <v>88.77</v>
      </c>
      <c r="Q49" s="29">
        <f>'Company Scorecard'!X63</f>
        <v>95.2</v>
      </c>
      <c r="R49" s="29">
        <f>'Company Scorecard'!Y63</f>
        <v>95.71</v>
      </c>
      <c r="S49" s="156"/>
      <c r="T49" s="29">
        <f>'Company Scorecard'!AA63</f>
        <v>101.97</v>
      </c>
      <c r="U49" s="29">
        <f>'Company Scorecard'!AB63</f>
        <v>106.2</v>
      </c>
      <c r="V49" s="29">
        <f>'Company Scorecard'!AC63</f>
        <v>103.51</v>
      </c>
      <c r="W49" s="29">
        <f>'Company Scorecard'!AD63</f>
        <v>107.44</v>
      </c>
      <c r="X49" s="154"/>
      <c r="Y49" s="29"/>
      <c r="Z49" s="29"/>
      <c r="AA49" s="29"/>
      <c r="AB49" s="29"/>
      <c r="AC49" s="154"/>
      <c r="AD49" s="29"/>
      <c r="AE49" s="29"/>
      <c r="AF49" s="29"/>
      <c r="AG49" s="29"/>
      <c r="AI49" s="154"/>
      <c r="AN49" s="154"/>
      <c r="AS49" s="154"/>
      <c r="AY49" s="156">
        <v>11</v>
      </c>
      <c r="BD49" s="156">
        <v>16.5</v>
      </c>
      <c r="BJ49" s="352">
        <v>31</v>
      </c>
      <c r="BO49" s="346">
        <v>22</v>
      </c>
      <c r="BP49" s="344"/>
      <c r="BQ49" s="344"/>
      <c r="BR49" s="344"/>
      <c r="BS49" s="344"/>
      <c r="BT49" s="346">
        <v>17</v>
      </c>
      <c r="BU49" s="156">
        <v>37</v>
      </c>
      <c r="BV49" s="156">
        <v>69.5</v>
      </c>
      <c r="BW49" s="156">
        <v>37</v>
      </c>
      <c r="BX49" s="156">
        <v>4</v>
      </c>
      <c r="BY49" s="346">
        <v>34</v>
      </c>
      <c r="BZ49" s="156">
        <v>129</v>
      </c>
      <c r="CA49" s="156">
        <v>14</v>
      </c>
      <c r="CB49" s="156">
        <v>27</v>
      </c>
      <c r="CC49" s="156">
        <v>30.5</v>
      </c>
      <c r="CD49" s="156">
        <v>22.5</v>
      </c>
      <c r="CE49" s="346">
        <v>30.5</v>
      </c>
    </row>
    <row r="50" spans="1:83" s="11" customFormat="1" hidden="1">
      <c r="A50" s="281" t="s">
        <v>108</v>
      </c>
      <c r="B50" s="54" t="s">
        <v>2</v>
      </c>
      <c r="H50" s="153"/>
      <c r="M50" s="153"/>
      <c r="S50" s="153"/>
      <c r="X50" s="153"/>
      <c r="AC50" s="153"/>
      <c r="AI50" s="153"/>
      <c r="AN50" s="153"/>
      <c r="AS50" s="153"/>
      <c r="AY50" s="153"/>
      <c r="BD50" s="153"/>
      <c r="BJ50" s="153"/>
      <c r="BO50" s="341"/>
      <c r="BP50" s="341"/>
      <c r="BQ50" s="341"/>
      <c r="BR50" s="341"/>
      <c r="BS50" s="341"/>
      <c r="BT50" s="341"/>
      <c r="BU50" s="153"/>
      <c r="BV50" s="153"/>
      <c r="BW50" s="153"/>
      <c r="BX50" s="153"/>
      <c r="BY50" s="341"/>
      <c r="BZ50" s="153"/>
      <c r="CA50" s="153"/>
      <c r="CB50" s="153"/>
      <c r="CC50" s="153"/>
      <c r="CD50" s="153"/>
      <c r="CE50" s="341"/>
    </row>
    <row r="51" spans="1:83" hidden="1">
      <c r="C51" t="s">
        <v>76</v>
      </c>
      <c r="D51" s="12">
        <f>'Company Scorecard'!K69</f>
        <v>1</v>
      </c>
      <c r="E51" s="12">
        <f>'Company Scorecard'!L69</f>
        <v>0.91666666666666663</v>
      </c>
      <c r="F51" s="12">
        <f>'Company Scorecard'!M69</f>
        <v>0.91666666666666663</v>
      </c>
      <c r="G51" s="12">
        <f>'Company Scorecard'!N69</f>
        <v>0.91666666666666663</v>
      </c>
      <c r="H51" s="157"/>
      <c r="I51" s="12">
        <f>'Company Scorecard'!P69</f>
        <v>0</v>
      </c>
      <c r="J51" s="12">
        <f>'Company Scorecard'!Q69</f>
        <v>0</v>
      </c>
      <c r="K51" s="12">
        <f>'Company Scorecard'!R69</f>
        <v>0</v>
      </c>
      <c r="L51" s="12">
        <f>'Company Scorecard'!S69</f>
        <v>0</v>
      </c>
      <c r="M51" s="157"/>
      <c r="N51" s="12">
        <f>'Company Scorecard'!U69</f>
        <v>0</v>
      </c>
      <c r="O51" s="12">
        <f>'Company Scorecard'!V69</f>
        <v>0</v>
      </c>
      <c r="P51" s="12">
        <f>'Company Scorecard'!W69</f>
        <v>0</v>
      </c>
      <c r="Q51" s="12">
        <f>'Company Scorecard'!X69</f>
        <v>0</v>
      </c>
      <c r="R51" s="12">
        <f>'Company Scorecard'!Y69</f>
        <v>0</v>
      </c>
      <c r="S51" s="157"/>
      <c r="T51" s="12">
        <f>'Company Scorecard'!AA69</f>
        <v>0</v>
      </c>
      <c r="U51" s="12">
        <f>'Company Scorecard'!AB69</f>
        <v>0</v>
      </c>
      <c r="V51" s="12">
        <f>'Company Scorecard'!AC69</f>
        <v>0</v>
      </c>
      <c r="W51" s="214">
        <f>'Company Scorecard'!AD69</f>
        <v>0</v>
      </c>
      <c r="X51" s="157"/>
      <c r="Y51" s="215">
        <f>'Company Scorecard'!AF69</f>
        <v>0</v>
      </c>
      <c r="Z51" s="215">
        <f>'Company Scorecard'!AG69</f>
        <v>0</v>
      </c>
      <c r="AA51" s="215">
        <f>'Company Scorecard'!AH69</f>
        <v>0</v>
      </c>
      <c r="AB51" s="12"/>
      <c r="AC51" s="157"/>
      <c r="AD51" s="215">
        <f>'Company Scorecard'!AK69</f>
        <v>0</v>
      </c>
      <c r="AE51" s="215">
        <f>'Company Scorecard'!AL69</f>
        <v>0</v>
      </c>
      <c r="AF51" s="215"/>
      <c r="AG51" s="12"/>
      <c r="AH51" s="12"/>
      <c r="AI51" s="157"/>
      <c r="AJ51" s="12"/>
      <c r="AK51" s="12"/>
      <c r="AL51" s="12"/>
      <c r="AM51" s="12"/>
      <c r="AN51" s="157"/>
      <c r="AO51" s="12"/>
      <c r="AS51" s="154"/>
      <c r="AY51" s="154"/>
      <c r="BD51" s="154"/>
      <c r="BJ51" s="154"/>
      <c r="BO51" s="344"/>
      <c r="BP51" s="344"/>
      <c r="BQ51" s="344"/>
      <c r="BR51" s="344"/>
      <c r="BS51" s="344"/>
      <c r="BT51" s="344"/>
      <c r="BU51" s="154"/>
      <c r="BV51" s="154"/>
      <c r="BW51" s="154"/>
      <c r="BX51" s="154"/>
      <c r="BY51" s="344"/>
      <c r="BZ51" s="154"/>
      <c r="CA51" s="154"/>
      <c r="CB51" s="154"/>
      <c r="CC51" s="154"/>
      <c r="CD51" s="154"/>
      <c r="CE51" s="344"/>
    </row>
    <row r="52" spans="1:83" hidden="1">
      <c r="C52" t="s">
        <v>77</v>
      </c>
      <c r="D52" s="12">
        <f>'Company Scorecard'!K70</f>
        <v>1</v>
      </c>
      <c r="E52" s="12">
        <f>'Company Scorecard'!L70</f>
        <v>1</v>
      </c>
      <c r="F52" s="12">
        <f>'Company Scorecard'!M70</f>
        <v>1</v>
      </c>
      <c r="G52" s="12">
        <f>'Company Scorecard'!N70</f>
        <v>1</v>
      </c>
      <c r="H52" s="157"/>
      <c r="I52" s="12">
        <f>'Company Scorecard'!P70</f>
        <v>0</v>
      </c>
      <c r="J52" s="12">
        <f>'Company Scorecard'!Q70</f>
        <v>0</v>
      </c>
      <c r="K52" s="12">
        <f>'Company Scorecard'!R70</f>
        <v>0</v>
      </c>
      <c r="L52" s="12">
        <f>'Company Scorecard'!S70</f>
        <v>0</v>
      </c>
      <c r="M52" s="157"/>
      <c r="N52" s="12">
        <f>'Company Scorecard'!U70</f>
        <v>0</v>
      </c>
      <c r="O52" s="12">
        <f>'Company Scorecard'!V70</f>
        <v>0</v>
      </c>
      <c r="P52" s="12">
        <f>'Company Scorecard'!W70</f>
        <v>0</v>
      </c>
      <c r="Q52" s="12">
        <f>'Company Scorecard'!X70</f>
        <v>0</v>
      </c>
      <c r="R52" s="12">
        <f>'Company Scorecard'!Y70</f>
        <v>0</v>
      </c>
      <c r="S52" s="157"/>
      <c r="T52" s="12">
        <f>'Company Scorecard'!AA70</f>
        <v>0</v>
      </c>
      <c r="U52" s="12">
        <f>'Company Scorecard'!AB70</f>
        <v>0</v>
      </c>
      <c r="V52" s="12">
        <f>'Company Scorecard'!AC70</f>
        <v>0</v>
      </c>
      <c r="W52" s="214">
        <f>'Company Scorecard'!AD70</f>
        <v>0</v>
      </c>
      <c r="X52" s="157"/>
      <c r="Y52" s="215">
        <f>'Company Scorecard'!AF70</f>
        <v>0</v>
      </c>
      <c r="Z52" s="215">
        <f>'Company Scorecard'!AG70</f>
        <v>0</v>
      </c>
      <c r="AA52" s="215">
        <f>'Company Scorecard'!AH70</f>
        <v>0</v>
      </c>
      <c r="AB52" s="12"/>
      <c r="AC52" s="157"/>
      <c r="AD52" s="215">
        <f>'Company Scorecard'!AK70</f>
        <v>0</v>
      </c>
      <c r="AE52" s="215">
        <f>'Company Scorecard'!AL70</f>
        <v>0</v>
      </c>
      <c r="AF52" s="215"/>
      <c r="AG52" s="12"/>
      <c r="AH52" s="12"/>
      <c r="AI52" s="157"/>
      <c r="AJ52" s="12"/>
      <c r="AK52" s="12"/>
      <c r="AL52" s="12"/>
      <c r="AM52" s="12"/>
      <c r="AN52" s="157"/>
      <c r="AO52" s="12"/>
      <c r="AS52" s="154"/>
      <c r="AY52" s="154"/>
      <c r="BD52" s="154"/>
      <c r="BJ52" s="154"/>
      <c r="BO52" s="344"/>
      <c r="BP52" s="344"/>
      <c r="BQ52" s="344"/>
      <c r="BR52" s="344"/>
      <c r="BS52" s="344"/>
      <c r="BT52" s="344"/>
      <c r="BU52" s="154"/>
      <c r="BV52" s="154"/>
      <c r="BW52" s="154"/>
      <c r="BX52" s="154"/>
      <c r="BY52" s="344"/>
      <c r="BZ52" s="154"/>
      <c r="CA52" s="154"/>
      <c r="CB52" s="154"/>
      <c r="CC52" s="154"/>
      <c r="CD52" s="154"/>
      <c r="CE52" s="344"/>
    </row>
    <row r="53" spans="1:83" hidden="1">
      <c r="C53" t="s">
        <v>78</v>
      </c>
      <c r="D53" s="12">
        <f>'Company Scorecard'!K71</f>
        <v>1</v>
      </c>
      <c r="E53" s="12">
        <f>'Company Scorecard'!L71</f>
        <v>0.83333333333333337</v>
      </c>
      <c r="F53" s="12">
        <f>'Company Scorecard'!M71</f>
        <v>1</v>
      </c>
      <c r="G53" s="12">
        <f>'Company Scorecard'!N71</f>
        <v>1</v>
      </c>
      <c r="H53" s="157"/>
      <c r="I53" s="12">
        <f>'Company Scorecard'!P71</f>
        <v>0</v>
      </c>
      <c r="J53" s="12">
        <f>'Company Scorecard'!Q71</f>
        <v>0</v>
      </c>
      <c r="K53" s="12">
        <f>'Company Scorecard'!R71</f>
        <v>0</v>
      </c>
      <c r="L53" s="12">
        <f>'Company Scorecard'!S71</f>
        <v>0</v>
      </c>
      <c r="M53" s="157"/>
      <c r="N53" s="12">
        <f>'Company Scorecard'!U71</f>
        <v>0</v>
      </c>
      <c r="O53" s="12">
        <f>'Company Scorecard'!V71</f>
        <v>0</v>
      </c>
      <c r="P53" s="12">
        <f>'Company Scorecard'!W71</f>
        <v>0</v>
      </c>
      <c r="Q53" s="12">
        <f>'Company Scorecard'!X71</f>
        <v>0</v>
      </c>
      <c r="R53" s="12">
        <f>'Company Scorecard'!Y71</f>
        <v>0</v>
      </c>
      <c r="S53" s="157"/>
      <c r="T53" s="12">
        <f>'Company Scorecard'!AA71</f>
        <v>0</v>
      </c>
      <c r="U53" s="12">
        <f>'Company Scorecard'!AB71</f>
        <v>0</v>
      </c>
      <c r="V53" s="12">
        <f>'Company Scorecard'!AC71</f>
        <v>0</v>
      </c>
      <c r="W53" s="214">
        <f>'Company Scorecard'!AD71</f>
        <v>0</v>
      </c>
      <c r="X53" s="157"/>
      <c r="Y53" s="215">
        <f>'Company Scorecard'!AF71</f>
        <v>0</v>
      </c>
      <c r="Z53" s="215">
        <f>'Company Scorecard'!AG71</f>
        <v>0</v>
      </c>
      <c r="AA53" s="215">
        <f>'Company Scorecard'!AH71</f>
        <v>0</v>
      </c>
      <c r="AB53" s="12"/>
      <c r="AC53" s="157"/>
      <c r="AD53" s="215">
        <f>'Company Scorecard'!AK71</f>
        <v>0</v>
      </c>
      <c r="AE53" s="215">
        <f>'Company Scorecard'!AL71</f>
        <v>0</v>
      </c>
      <c r="AF53" s="215"/>
      <c r="AG53" s="12"/>
      <c r="AH53" s="12"/>
      <c r="AI53" s="157"/>
      <c r="AJ53" s="12"/>
      <c r="AK53" s="12"/>
      <c r="AL53" s="12"/>
      <c r="AM53" s="12"/>
      <c r="AN53" s="157"/>
      <c r="AO53" s="12"/>
      <c r="AS53" s="154"/>
      <c r="AY53" s="154"/>
      <c r="BD53" s="154"/>
      <c r="BJ53" s="154"/>
      <c r="BO53" s="344"/>
      <c r="BP53" s="344"/>
      <c r="BQ53" s="344"/>
      <c r="BR53" s="344"/>
      <c r="BS53" s="344"/>
      <c r="BT53" s="344"/>
      <c r="BU53" s="154"/>
      <c r="BV53" s="154"/>
      <c r="BW53" s="154"/>
      <c r="BX53" s="154"/>
      <c r="BY53" s="344"/>
      <c r="BZ53" s="154"/>
      <c r="CA53" s="154"/>
      <c r="CB53" s="154"/>
      <c r="CC53" s="154"/>
      <c r="CD53" s="154"/>
      <c r="CE53" s="344"/>
    </row>
    <row r="54" spans="1:83" hidden="1">
      <c r="C54" t="s">
        <v>89</v>
      </c>
      <c r="D54" s="12">
        <f>'Company Scorecard'!K72</f>
        <v>1</v>
      </c>
      <c r="E54" s="12">
        <f>'Company Scorecard'!L72</f>
        <v>1</v>
      </c>
      <c r="F54" s="12">
        <f>'Company Scorecard'!M72</f>
        <v>1</v>
      </c>
      <c r="G54" s="12">
        <f>'Company Scorecard'!N72</f>
        <v>1</v>
      </c>
      <c r="H54" s="157"/>
      <c r="I54" s="12">
        <f>'Company Scorecard'!P72</f>
        <v>0</v>
      </c>
      <c r="J54" s="12">
        <f>'Company Scorecard'!Q72</f>
        <v>0</v>
      </c>
      <c r="K54" s="12">
        <f>'Company Scorecard'!R72</f>
        <v>0</v>
      </c>
      <c r="L54" s="12">
        <f>'Company Scorecard'!S72</f>
        <v>0</v>
      </c>
      <c r="M54" s="157"/>
      <c r="N54" s="12">
        <f>'Company Scorecard'!U72</f>
        <v>0</v>
      </c>
      <c r="O54" s="12">
        <f>'Company Scorecard'!V72</f>
        <v>0</v>
      </c>
      <c r="P54" s="12">
        <f>'Company Scorecard'!W72</f>
        <v>0</v>
      </c>
      <c r="Q54" s="12">
        <f>'Company Scorecard'!X72</f>
        <v>0</v>
      </c>
      <c r="R54" s="12">
        <f>'Company Scorecard'!Y72</f>
        <v>0</v>
      </c>
      <c r="S54" s="157"/>
      <c r="T54" s="12">
        <f>'Company Scorecard'!AA72</f>
        <v>0</v>
      </c>
      <c r="U54" s="12">
        <f>'Company Scorecard'!AB72</f>
        <v>0</v>
      </c>
      <c r="V54" s="12">
        <f>'Company Scorecard'!AC72</f>
        <v>0</v>
      </c>
      <c r="W54" s="214">
        <f>'Company Scorecard'!AD72</f>
        <v>0</v>
      </c>
      <c r="X54" s="157"/>
      <c r="Y54" s="215">
        <f>'Company Scorecard'!AF72</f>
        <v>0</v>
      </c>
      <c r="Z54" s="215">
        <f>'Company Scorecard'!AG72</f>
        <v>0</v>
      </c>
      <c r="AA54" s="215">
        <f>'Company Scorecard'!AH72</f>
        <v>0</v>
      </c>
      <c r="AB54" s="12"/>
      <c r="AC54" s="157"/>
      <c r="AD54" s="215">
        <f>'Company Scorecard'!AK72</f>
        <v>0</v>
      </c>
      <c r="AE54" s="215">
        <f>'Company Scorecard'!AL72</f>
        <v>0</v>
      </c>
      <c r="AF54" s="215"/>
      <c r="AG54" s="12"/>
      <c r="AH54" s="12"/>
      <c r="AI54" s="157"/>
      <c r="AJ54" s="12"/>
      <c r="AK54" s="12"/>
      <c r="AL54" s="12"/>
      <c r="AM54" s="12"/>
      <c r="AN54" s="157"/>
      <c r="AO54" s="12"/>
      <c r="AS54" s="154"/>
      <c r="AY54" s="154"/>
      <c r="BD54" s="154"/>
      <c r="BJ54" s="154"/>
      <c r="BO54" s="344"/>
      <c r="BP54" s="344"/>
      <c r="BQ54" s="344"/>
      <c r="BR54" s="344"/>
      <c r="BS54" s="344"/>
      <c r="BT54" s="344"/>
      <c r="BU54" s="154"/>
      <c r="BV54" s="154"/>
      <c r="BW54" s="154"/>
      <c r="BX54" s="154"/>
      <c r="BY54" s="344"/>
      <c r="BZ54" s="154"/>
      <c r="CA54" s="154"/>
      <c r="CB54" s="154"/>
      <c r="CC54" s="154"/>
      <c r="CD54" s="154"/>
      <c r="CE54" s="344"/>
    </row>
    <row r="55" spans="1:83" s="11" customFormat="1">
      <c r="A55" s="50" t="s">
        <v>253</v>
      </c>
      <c r="B55" s="54" t="s">
        <v>2</v>
      </c>
      <c r="D55" s="13"/>
      <c r="E55" s="13"/>
      <c r="F55" s="13"/>
      <c r="G55" s="13"/>
      <c r="H55" s="158"/>
      <c r="I55" s="13"/>
      <c r="J55" s="13"/>
      <c r="K55" s="13"/>
      <c r="L55" s="13"/>
      <c r="M55" s="158"/>
      <c r="N55" s="13"/>
      <c r="O55" s="13"/>
      <c r="P55" s="13"/>
      <c r="Q55" s="13"/>
      <c r="R55" s="13"/>
      <c r="S55" s="158"/>
      <c r="T55" s="13"/>
      <c r="U55" s="13"/>
      <c r="V55" s="13"/>
      <c r="W55" s="13"/>
      <c r="X55" s="158"/>
      <c r="Y55" s="13"/>
      <c r="Z55" s="13"/>
      <c r="AA55" s="13"/>
      <c r="AB55" s="13"/>
      <c r="AC55" s="158"/>
      <c r="AD55" s="13"/>
      <c r="AE55" s="13"/>
      <c r="AF55" s="13"/>
      <c r="AG55" s="13"/>
      <c r="AH55" s="13"/>
      <c r="AI55" s="158"/>
      <c r="AJ55" s="13"/>
      <c r="AK55" s="13"/>
      <c r="AL55" s="13"/>
      <c r="AM55" s="13"/>
      <c r="AN55" s="158"/>
      <c r="AO55" s="13"/>
      <c r="AS55" s="153"/>
      <c r="AY55" s="153"/>
      <c r="BD55" s="153"/>
      <c r="BJ55" s="153"/>
      <c r="BO55" s="341"/>
      <c r="BP55" s="341"/>
      <c r="BQ55" s="341"/>
      <c r="BR55" s="341"/>
      <c r="BS55" s="341"/>
      <c r="BT55" s="341"/>
      <c r="BU55" s="153"/>
      <c r="BV55" s="153"/>
      <c r="BW55" s="153"/>
      <c r="BX55" s="153"/>
      <c r="BY55" s="341"/>
      <c r="BZ55" s="153"/>
      <c r="CA55" s="153"/>
      <c r="CB55" s="153"/>
      <c r="CC55" s="153"/>
      <c r="CD55" s="153"/>
      <c r="CE55" s="341"/>
    </row>
    <row r="56" spans="1:83">
      <c r="C56" t="s">
        <v>76</v>
      </c>
      <c r="D56">
        <v>4.83</v>
      </c>
      <c r="E56">
        <v>3.64</v>
      </c>
      <c r="F56">
        <v>1.43</v>
      </c>
      <c r="G56">
        <v>4.12</v>
      </c>
      <c r="H56" s="154"/>
      <c r="I56" s="15">
        <v>1.4999999999999999E-2</v>
      </c>
      <c r="J56" s="15">
        <v>0.01</v>
      </c>
      <c r="K56" s="15">
        <v>1.4E-2</v>
      </c>
      <c r="L56" s="15">
        <v>2.5999999999999999E-2</v>
      </c>
      <c r="M56" s="161"/>
      <c r="N56" s="15">
        <v>6.0000000000000001E-3</v>
      </c>
      <c r="O56" s="15">
        <v>4.9000000000000002E-2</v>
      </c>
      <c r="P56" s="15">
        <v>3.6999999999999998E-2</v>
      </c>
      <c r="Q56" s="15">
        <v>3.0000000000000001E-3</v>
      </c>
      <c r="R56" s="15">
        <v>1.0999999999999999E-2</v>
      </c>
      <c r="S56" s="161"/>
      <c r="T56" s="15">
        <v>1.4E-2</v>
      </c>
      <c r="U56" s="15">
        <v>2.5000000000000001E-2</v>
      </c>
      <c r="V56" s="15">
        <v>1.7000000000000001E-2</v>
      </c>
      <c r="W56" s="15">
        <v>2.5000000000000001E-2</v>
      </c>
      <c r="X56" s="161"/>
      <c r="Y56" s="15">
        <v>4.0000000000000001E-3</v>
      </c>
      <c r="Z56" s="15">
        <v>1.9E-2</v>
      </c>
      <c r="AA56" s="15">
        <v>3.6999999999999998E-2</v>
      </c>
      <c r="AB56" s="15">
        <v>3.5000000000000003E-2</v>
      </c>
      <c r="AC56" s="154"/>
      <c r="AD56" s="15">
        <v>4.2000000000000003E-2</v>
      </c>
      <c r="AE56" s="15">
        <v>1.4E-2</v>
      </c>
      <c r="AF56" s="15">
        <v>6.0000000000000001E-3</v>
      </c>
      <c r="AG56" s="15">
        <v>2.1000000000000001E-2</v>
      </c>
      <c r="AH56" s="15">
        <v>2.4E-2</v>
      </c>
      <c r="AI56" s="154"/>
      <c r="AJ56" s="15">
        <v>2.5999999999999999E-2</v>
      </c>
      <c r="AK56" s="15">
        <v>7.1999999999999995E-2</v>
      </c>
      <c r="AL56" s="15">
        <v>3.6999999999999998E-2</v>
      </c>
      <c r="AM56" s="15">
        <v>0.03</v>
      </c>
      <c r="AN56" s="154"/>
      <c r="AO56" s="15">
        <v>2.4E-2</v>
      </c>
      <c r="AP56" s="15">
        <v>3.4000000000000002E-2</v>
      </c>
      <c r="AQ56" s="15">
        <v>2.5999999999999999E-2</v>
      </c>
      <c r="AR56" s="15">
        <v>2.3E-2</v>
      </c>
      <c r="AS56" s="154"/>
      <c r="AT56" s="15">
        <v>1.2999999999999999E-2</v>
      </c>
      <c r="AU56" s="15">
        <v>2.4E-2</v>
      </c>
      <c r="AV56" s="15">
        <v>3.4000000000000002E-2</v>
      </c>
      <c r="AW56" s="15">
        <v>0.01</v>
      </c>
      <c r="AX56" s="15">
        <v>1.7999999999999999E-2</v>
      </c>
      <c r="AY56" s="154"/>
      <c r="AZ56" s="15">
        <v>2.5000000000000001E-2</v>
      </c>
      <c r="BA56" s="15">
        <v>2.4E-2</v>
      </c>
      <c r="BB56" s="15">
        <v>2.1999999999999999E-2</v>
      </c>
      <c r="BC56" s="15">
        <v>6.7000000000000004E-2</v>
      </c>
      <c r="BD56" s="154"/>
      <c r="BE56" s="15">
        <v>3.5999999999999997E-2</v>
      </c>
      <c r="BF56" s="15">
        <v>1.7999999999999999E-2</v>
      </c>
      <c r="BG56" s="15">
        <v>3.7999999999999999E-2</v>
      </c>
      <c r="BH56" s="15">
        <v>0.04</v>
      </c>
      <c r="BI56" s="15">
        <v>7.2999999999999995E-2</v>
      </c>
      <c r="BJ56" s="154"/>
      <c r="BK56" s="15"/>
      <c r="BL56" s="15"/>
      <c r="BM56" s="15"/>
      <c r="BN56" s="15"/>
      <c r="BO56" s="358">
        <v>4.9000000000000002E-2</v>
      </c>
      <c r="BP56" s="344"/>
      <c r="BQ56" s="344"/>
      <c r="BR56" s="344"/>
      <c r="BS56" s="344"/>
      <c r="BT56" s="358">
        <v>3.2000000000000001E-2</v>
      </c>
      <c r="BU56" s="154"/>
      <c r="BV56" s="154"/>
      <c r="BW56" s="154"/>
      <c r="BX56" s="154"/>
      <c r="BY56" s="358">
        <v>3.5999999999999997E-2</v>
      </c>
      <c r="BZ56" s="154"/>
      <c r="CA56" s="154"/>
      <c r="CB56" s="154"/>
      <c r="CC56" s="154"/>
      <c r="CD56" s="154"/>
      <c r="CE56" s="358"/>
    </row>
    <row r="57" spans="1:83">
      <c r="C57" t="s">
        <v>77</v>
      </c>
      <c r="D57">
        <v>17.22</v>
      </c>
      <c r="E57">
        <v>9.69</v>
      </c>
      <c r="F57">
        <v>22.05</v>
      </c>
      <c r="G57">
        <v>16.82</v>
      </c>
      <c r="H57" s="154"/>
      <c r="I57" s="15">
        <v>5.7000000000000002E-2</v>
      </c>
      <c r="J57" s="15">
        <v>3.3000000000000002E-2</v>
      </c>
      <c r="K57" s="15">
        <v>4.3999999999999997E-2</v>
      </c>
      <c r="L57" s="15">
        <v>1.7000000000000001E-2</v>
      </c>
      <c r="M57" s="161"/>
      <c r="N57" s="15">
        <v>3.5000000000000003E-2</v>
      </c>
      <c r="O57" s="15">
        <v>3.4000000000000002E-2</v>
      </c>
      <c r="P57" s="15">
        <v>5.0999999999999997E-2</v>
      </c>
      <c r="Q57" s="15">
        <v>4.4999999999999998E-2</v>
      </c>
      <c r="R57" s="15">
        <v>6.6000000000000003E-2</v>
      </c>
      <c r="S57" s="161"/>
      <c r="T57" s="15">
        <v>3.4000000000000002E-2</v>
      </c>
      <c r="U57" s="15">
        <v>4.2000000000000003E-2</v>
      </c>
      <c r="V57" s="15">
        <v>7.0000000000000007E-2</v>
      </c>
      <c r="W57" s="15">
        <v>0.107</v>
      </c>
      <c r="X57" s="161"/>
      <c r="Y57" s="15">
        <v>4.2000000000000003E-2</v>
      </c>
      <c r="Z57" s="15">
        <v>6.8000000000000005E-2</v>
      </c>
      <c r="AA57" s="15">
        <v>6.7000000000000004E-2</v>
      </c>
      <c r="AB57" s="15">
        <v>9.5000000000000001E-2</v>
      </c>
      <c r="AC57" s="154"/>
      <c r="AD57" s="15">
        <v>8.5000000000000006E-2</v>
      </c>
      <c r="AE57" s="15">
        <v>7.6999999999999999E-2</v>
      </c>
      <c r="AF57" s="15">
        <v>6.4000000000000001E-2</v>
      </c>
      <c r="AG57" s="15">
        <v>8.3000000000000004E-2</v>
      </c>
      <c r="AH57" s="15">
        <v>5.2999999999999999E-2</v>
      </c>
      <c r="AI57" s="154"/>
      <c r="AJ57" s="15">
        <v>7.0000000000000007E-2</v>
      </c>
      <c r="AK57" s="15">
        <v>6.4000000000000001E-2</v>
      </c>
      <c r="AL57" s="15">
        <v>7.6999999999999999E-2</v>
      </c>
      <c r="AM57" s="15">
        <v>8.1000000000000003E-2</v>
      </c>
      <c r="AN57" s="154"/>
      <c r="AO57" s="15">
        <v>7.2999999999999995E-2</v>
      </c>
      <c r="AP57" s="15">
        <v>6.8000000000000005E-2</v>
      </c>
      <c r="AQ57" s="15">
        <v>5.3999999999999999E-2</v>
      </c>
      <c r="AR57" s="15">
        <v>6.7000000000000004E-2</v>
      </c>
      <c r="AS57" s="154"/>
      <c r="AT57" s="15">
        <v>5.1999999999999998E-2</v>
      </c>
      <c r="AU57" s="15">
        <v>5.6000000000000001E-2</v>
      </c>
      <c r="AV57" s="15">
        <v>6.4000000000000001E-2</v>
      </c>
      <c r="AW57" s="15">
        <v>6.7000000000000004E-2</v>
      </c>
      <c r="AX57" s="15">
        <v>6.5000000000000002E-2</v>
      </c>
      <c r="AY57" s="154"/>
      <c r="AZ57" s="15">
        <v>0.10299999999999999</v>
      </c>
      <c r="BA57" s="15">
        <v>4.5999999999999999E-2</v>
      </c>
      <c r="BB57" s="15">
        <v>6.8000000000000005E-2</v>
      </c>
      <c r="BC57" s="15">
        <v>0.09</v>
      </c>
      <c r="BD57" s="154"/>
      <c r="BE57" s="15">
        <v>4.4999999999999998E-2</v>
      </c>
      <c r="BF57" s="15">
        <v>5.7000000000000002E-2</v>
      </c>
      <c r="BG57" s="15">
        <v>0.104</v>
      </c>
      <c r="BH57" s="15">
        <v>0.185</v>
      </c>
      <c r="BI57" s="15">
        <v>0.13</v>
      </c>
      <c r="BJ57" s="154"/>
      <c r="BK57" s="15"/>
      <c r="BL57" s="15"/>
      <c r="BM57" s="15"/>
      <c r="BN57" s="15"/>
      <c r="BO57" s="358">
        <v>0.107</v>
      </c>
      <c r="BP57" s="344"/>
      <c r="BQ57" s="344"/>
      <c r="BR57" s="344"/>
      <c r="BS57" s="344"/>
      <c r="BT57" s="358">
        <v>6.4000000000000001E-2</v>
      </c>
      <c r="BU57" s="154"/>
      <c r="BV57" s="154"/>
      <c r="BW57" s="154"/>
      <c r="BX57" s="154"/>
      <c r="BY57" s="358">
        <v>6.3E-2</v>
      </c>
      <c r="BZ57" s="154"/>
      <c r="CA57" s="154"/>
      <c r="CB57" s="154"/>
      <c r="CC57" s="154"/>
      <c r="CD57" s="154"/>
      <c r="CE57" s="358"/>
    </row>
    <row r="58" spans="1:83">
      <c r="C58" t="s">
        <v>78</v>
      </c>
      <c r="D58">
        <v>20.92</v>
      </c>
      <c r="E58">
        <v>3.88</v>
      </c>
      <c r="F58">
        <v>6.45</v>
      </c>
      <c r="G58">
        <v>3.62</v>
      </c>
      <c r="H58" s="154"/>
      <c r="I58" s="15">
        <v>1.4E-2</v>
      </c>
      <c r="J58" s="15">
        <v>0.02</v>
      </c>
      <c r="K58" s="15">
        <v>2.7E-2</v>
      </c>
      <c r="L58" s="15">
        <v>8.8999999999999996E-2</v>
      </c>
      <c r="M58" s="161"/>
      <c r="N58" s="15">
        <v>3.9E-2</v>
      </c>
      <c r="O58" s="15">
        <v>7.0000000000000007E-2</v>
      </c>
      <c r="P58" s="15">
        <v>3.7999999999999999E-2</v>
      </c>
      <c r="Q58" s="15">
        <v>2.3E-2</v>
      </c>
      <c r="R58" s="15">
        <v>2.3E-2</v>
      </c>
      <c r="S58" s="161"/>
      <c r="T58" s="15">
        <v>9.2999999999999999E-2</v>
      </c>
      <c r="U58" s="15">
        <v>0.105</v>
      </c>
      <c r="V58" s="15">
        <v>4.7E-2</v>
      </c>
      <c r="W58" s="15">
        <v>2.5000000000000001E-2</v>
      </c>
      <c r="X58" s="161"/>
      <c r="Y58" s="15">
        <v>2.9000000000000001E-2</v>
      </c>
      <c r="Z58" s="15">
        <v>7.2999999999999995E-2</v>
      </c>
      <c r="AA58" s="15">
        <v>7.3999999999999996E-2</v>
      </c>
      <c r="AB58" s="15">
        <v>5.0999999999999997E-2</v>
      </c>
      <c r="AC58" s="154"/>
      <c r="AD58" s="15">
        <v>0.17399999999999999</v>
      </c>
      <c r="AE58" s="15">
        <v>0.05</v>
      </c>
      <c r="AF58" s="15">
        <v>6.8000000000000005E-2</v>
      </c>
      <c r="AG58" s="15">
        <v>6.3E-2</v>
      </c>
      <c r="AH58" s="15">
        <v>3.4000000000000002E-2</v>
      </c>
      <c r="AI58" s="154"/>
      <c r="AJ58" s="15">
        <v>2.3E-2</v>
      </c>
      <c r="AK58" s="15">
        <v>7.0999999999999994E-2</v>
      </c>
      <c r="AL58" s="15">
        <v>3.9E-2</v>
      </c>
      <c r="AM58" s="15">
        <v>4.2999999999999997E-2</v>
      </c>
      <c r="AN58" s="154"/>
      <c r="AO58" s="15">
        <v>0.10299999999999999</v>
      </c>
      <c r="AP58" s="15">
        <v>2.3E-2</v>
      </c>
      <c r="AQ58" s="15">
        <v>2.1000000000000001E-2</v>
      </c>
      <c r="AR58" s="15">
        <v>0.04</v>
      </c>
      <c r="AS58" s="154"/>
      <c r="AT58" s="15">
        <v>5.0999999999999997E-2</v>
      </c>
      <c r="AU58" s="15">
        <v>0.02</v>
      </c>
      <c r="AV58" s="15">
        <v>5.8999999999999997E-2</v>
      </c>
      <c r="AW58" s="15">
        <v>3.2000000000000001E-2</v>
      </c>
      <c r="AX58" s="15">
        <v>4.7E-2</v>
      </c>
      <c r="AY58" s="154"/>
      <c r="AZ58" s="15">
        <v>3.4000000000000002E-2</v>
      </c>
      <c r="BA58" s="15">
        <v>2.1999999999999999E-2</v>
      </c>
      <c r="BB58" s="15">
        <v>0.106</v>
      </c>
      <c r="BC58" s="15">
        <v>0.17299999999999999</v>
      </c>
      <c r="BD58" s="154"/>
      <c r="BE58" s="15">
        <v>7.0999999999999994E-2</v>
      </c>
      <c r="BF58" s="15">
        <v>2.4E-2</v>
      </c>
      <c r="BG58" s="15">
        <v>2.5000000000000001E-2</v>
      </c>
      <c r="BH58" s="15">
        <v>0.10199999999999999</v>
      </c>
      <c r="BI58" s="15">
        <v>0.17</v>
      </c>
      <c r="BJ58" s="154"/>
      <c r="BK58" s="15"/>
      <c r="BL58" s="15"/>
      <c r="BM58" s="15"/>
      <c r="BN58" s="15"/>
      <c r="BO58" s="358">
        <v>7.6999999999999999E-2</v>
      </c>
      <c r="BP58" s="344"/>
      <c r="BQ58" s="344"/>
      <c r="BR58" s="344"/>
      <c r="BS58" s="344"/>
      <c r="BT58" s="358">
        <v>3.9E-2</v>
      </c>
      <c r="BU58" s="154"/>
      <c r="BV58" s="154"/>
      <c r="BW58" s="154"/>
      <c r="BX58" s="154"/>
      <c r="BY58" s="358">
        <v>2.3E-2</v>
      </c>
      <c r="BZ58" s="154"/>
      <c r="CA58" s="154"/>
      <c r="CB58" s="154"/>
      <c r="CC58" s="154"/>
      <c r="CD58" s="154"/>
      <c r="CE58" s="358"/>
    </row>
    <row r="59" spans="1:83">
      <c r="C59" t="s">
        <v>254</v>
      </c>
      <c r="D59">
        <v>20.28</v>
      </c>
      <c r="E59">
        <v>46.13</v>
      </c>
      <c r="F59">
        <f>25.4+1.77</f>
        <v>27.169999999999998</v>
      </c>
      <c r="G59">
        <v>24.15</v>
      </c>
      <c r="H59" s="154"/>
      <c r="I59" s="15">
        <v>9.9000000000000005E-2</v>
      </c>
      <c r="J59" s="15">
        <v>9.2999999999999999E-2</v>
      </c>
      <c r="K59" s="15">
        <v>6.8000000000000005E-2</v>
      </c>
      <c r="L59" s="15">
        <v>7.6999999999999999E-2</v>
      </c>
      <c r="M59" s="161"/>
      <c r="N59" s="15">
        <v>5.8000000000000003E-2</v>
      </c>
      <c r="O59" s="15">
        <v>5.7000000000000002E-2</v>
      </c>
      <c r="P59" s="15">
        <v>5.7000000000000002E-2</v>
      </c>
      <c r="Q59" s="15">
        <v>8.4000000000000005E-2</v>
      </c>
      <c r="R59" s="15">
        <v>7.2999999999999995E-2</v>
      </c>
      <c r="S59" s="161"/>
      <c r="T59" s="15">
        <v>6.7000000000000004E-2</v>
      </c>
      <c r="U59" s="15">
        <v>3.5999999999999997E-2</v>
      </c>
      <c r="V59" s="15">
        <v>7.5999999999999998E-2</v>
      </c>
      <c r="W59" s="15">
        <v>0.10199999999999999</v>
      </c>
      <c r="X59" s="161"/>
      <c r="Y59" s="15">
        <v>9.0999999999999998E-2</v>
      </c>
      <c r="Z59" s="15">
        <v>0.09</v>
      </c>
      <c r="AA59" s="15">
        <v>4.2000000000000003E-2</v>
      </c>
      <c r="AB59" s="222">
        <v>5.8000000000000003E-2</v>
      </c>
      <c r="AC59" s="154"/>
      <c r="AD59" s="15">
        <v>0.107</v>
      </c>
      <c r="AE59" s="15">
        <v>7.1999999999999995E-2</v>
      </c>
      <c r="AF59" s="15">
        <v>6.3E-2</v>
      </c>
      <c r="AG59" s="222">
        <v>0.06</v>
      </c>
      <c r="AH59" s="222">
        <v>8.6999999999999994E-2</v>
      </c>
      <c r="AI59" s="154"/>
      <c r="AJ59" s="222">
        <v>9.2999999999999999E-2</v>
      </c>
      <c r="AK59" s="15">
        <v>6.6000000000000003E-2</v>
      </c>
      <c r="AL59" s="15">
        <v>0.04</v>
      </c>
      <c r="AM59" s="15">
        <v>4.8000000000000001E-2</v>
      </c>
      <c r="AN59" s="154"/>
      <c r="AO59" s="15">
        <v>7.5999999999999998E-2</v>
      </c>
      <c r="AP59" s="15">
        <v>4.1000000000000002E-2</v>
      </c>
      <c r="AQ59" s="15">
        <v>5.5E-2</v>
      </c>
      <c r="AR59" s="15">
        <v>6.3E-2</v>
      </c>
      <c r="AS59" s="154"/>
      <c r="AT59" s="15">
        <v>8.2000000000000003E-2</v>
      </c>
      <c r="AU59" s="15">
        <v>4.9000000000000002E-2</v>
      </c>
      <c r="AV59" s="15">
        <v>0.09</v>
      </c>
      <c r="AW59" s="15">
        <v>6.3E-2</v>
      </c>
      <c r="AX59" s="15">
        <v>8.3000000000000004E-2</v>
      </c>
      <c r="AY59" s="154"/>
      <c r="AZ59" s="15">
        <v>5.2999999999999999E-2</v>
      </c>
      <c r="BA59" s="15">
        <v>4.4999999999999998E-2</v>
      </c>
      <c r="BB59" s="15">
        <v>3.7999999999999999E-2</v>
      </c>
      <c r="BC59" s="15">
        <v>0.106</v>
      </c>
      <c r="BD59" s="154"/>
      <c r="BE59" s="15">
        <v>5.6000000000000001E-2</v>
      </c>
      <c r="BF59" s="15">
        <v>7.2999999999999995E-2</v>
      </c>
      <c r="BG59" s="15">
        <v>0.06</v>
      </c>
      <c r="BH59" s="15">
        <v>0.152</v>
      </c>
      <c r="BI59" s="15">
        <v>0.19500000000000001</v>
      </c>
      <c r="BJ59" s="154"/>
      <c r="BK59" s="15"/>
      <c r="BL59" s="15"/>
      <c r="BM59" s="15"/>
      <c r="BN59" s="15"/>
      <c r="BO59" s="358">
        <v>9.5000000000000001E-2</v>
      </c>
      <c r="BP59" s="344"/>
      <c r="BQ59" s="344"/>
      <c r="BR59" s="344"/>
      <c r="BS59" s="344"/>
      <c r="BT59" s="358">
        <v>5.6000000000000001E-2</v>
      </c>
      <c r="BU59" s="154"/>
      <c r="BV59" s="154"/>
      <c r="BW59" s="154"/>
      <c r="BX59" s="154"/>
      <c r="BY59" s="358">
        <v>6.8000000000000005E-2</v>
      </c>
      <c r="BZ59" s="154"/>
      <c r="CA59" s="154"/>
      <c r="CB59" s="154"/>
      <c r="CC59" s="154"/>
      <c r="CD59" s="154"/>
      <c r="CE59" s="358"/>
    </row>
    <row r="60" spans="1:83" s="11" customFormat="1">
      <c r="A60" s="50" t="s">
        <v>255</v>
      </c>
      <c r="B60" s="54" t="s">
        <v>2</v>
      </c>
      <c r="H60" s="153"/>
      <c r="M60" s="153"/>
      <c r="S60" s="153"/>
      <c r="X60" s="153"/>
      <c r="AC60" s="153"/>
      <c r="AI60" s="153"/>
      <c r="AN60" s="153"/>
      <c r="AS60" s="153"/>
      <c r="AY60" s="153"/>
      <c r="BD60" s="153"/>
      <c r="BJ60" s="153"/>
      <c r="BO60" s="341"/>
      <c r="BP60" s="341"/>
      <c r="BQ60" s="341"/>
      <c r="BR60" s="341"/>
      <c r="BS60" s="341"/>
      <c r="BT60" s="341"/>
      <c r="BU60" s="153"/>
      <c r="BV60" s="153"/>
      <c r="BW60" s="153"/>
      <c r="BX60" s="153"/>
      <c r="BY60" s="341"/>
      <c r="BZ60" s="153"/>
      <c r="CA60" s="153"/>
      <c r="CB60" s="153"/>
      <c r="CC60" s="153"/>
      <c r="CD60" s="153"/>
      <c r="CE60" s="341"/>
    </row>
    <row r="61" spans="1:83" ht="29.25">
      <c r="A61" s="39" t="s">
        <v>256</v>
      </c>
      <c r="C61" t="s">
        <v>76</v>
      </c>
      <c r="H61" s="154"/>
      <c r="M61" s="154"/>
      <c r="S61" s="154"/>
      <c r="X61" s="154"/>
      <c r="Y61">
        <v>0.4</v>
      </c>
      <c r="Z61">
        <v>0.3</v>
      </c>
      <c r="AA61">
        <v>0.25</v>
      </c>
      <c r="AB61">
        <v>0.33</v>
      </c>
      <c r="AC61" s="154"/>
      <c r="AD61">
        <v>0.375</v>
      </c>
      <c r="AE61">
        <v>0.25</v>
      </c>
      <c r="AI61" s="154"/>
      <c r="AN61" s="154"/>
      <c r="AS61" s="154"/>
      <c r="AY61" s="154"/>
      <c r="BD61" s="154"/>
      <c r="BJ61" s="154"/>
      <c r="BO61" s="344" t="s">
        <v>257</v>
      </c>
      <c r="BP61" s="344"/>
      <c r="BQ61" s="344"/>
      <c r="BR61" s="344"/>
      <c r="BS61" s="344"/>
      <c r="BT61" s="344" t="s">
        <v>258</v>
      </c>
      <c r="BU61" s="154"/>
      <c r="BV61" s="154"/>
      <c r="BW61" s="154"/>
      <c r="BX61" s="154"/>
      <c r="BY61" s="344" t="s">
        <v>259</v>
      </c>
      <c r="BZ61" s="154"/>
      <c r="CA61" s="154"/>
      <c r="CB61" s="154"/>
      <c r="CC61" s="154"/>
      <c r="CD61" s="154"/>
      <c r="CE61" s="344" t="s">
        <v>260</v>
      </c>
    </row>
    <row r="62" spans="1:83">
      <c r="C62" t="s">
        <v>77</v>
      </c>
      <c r="H62" s="154"/>
      <c r="M62" s="154"/>
      <c r="S62" s="154"/>
      <c r="X62" s="154"/>
      <c r="Y62">
        <v>0.75</v>
      </c>
      <c r="Z62">
        <v>2.2999999999999998</v>
      </c>
      <c r="AA62">
        <v>2</v>
      </c>
      <c r="AB62">
        <v>0</v>
      </c>
      <c r="AC62" s="154"/>
      <c r="AD62">
        <v>0.5</v>
      </c>
      <c r="AE62">
        <v>1.5</v>
      </c>
      <c r="AI62" s="154"/>
      <c r="AN62" s="154"/>
      <c r="AS62" s="154"/>
      <c r="AY62" s="154"/>
      <c r="BD62" s="154"/>
      <c r="BJ62" s="154"/>
      <c r="BO62" s="344" t="s">
        <v>261</v>
      </c>
      <c r="BP62" s="344"/>
      <c r="BQ62" s="344"/>
      <c r="BR62" s="344"/>
      <c r="BS62" s="344"/>
      <c r="BT62" s="344" t="s">
        <v>262</v>
      </c>
      <c r="BU62" s="154"/>
      <c r="BV62" s="154"/>
      <c r="BW62" s="154"/>
      <c r="BX62" s="154"/>
      <c r="BY62" s="344" t="s">
        <v>258</v>
      </c>
      <c r="BZ62" s="154"/>
      <c r="CA62" s="154"/>
      <c r="CB62" s="154"/>
      <c r="CC62" s="154"/>
      <c r="CD62" s="154"/>
      <c r="CE62" s="344" t="s">
        <v>263</v>
      </c>
    </row>
    <row r="63" spans="1:83">
      <c r="C63" t="s">
        <v>78</v>
      </c>
      <c r="H63" s="154"/>
      <c r="M63" s="154"/>
      <c r="S63" s="154"/>
      <c r="X63" s="154"/>
      <c r="Y63">
        <v>1</v>
      </c>
      <c r="Z63">
        <v>2</v>
      </c>
      <c r="AA63">
        <v>2</v>
      </c>
      <c r="AB63">
        <v>1</v>
      </c>
      <c r="AC63" s="154"/>
      <c r="AD63" s="203" t="s">
        <v>264</v>
      </c>
      <c r="AE63">
        <v>2.2999999999999998</v>
      </c>
      <c r="AI63" s="154"/>
      <c r="AN63" s="154"/>
      <c r="AS63" s="154"/>
      <c r="AY63" s="154"/>
      <c r="BD63" s="154"/>
      <c r="BJ63" s="154"/>
      <c r="BO63" s="344" t="s">
        <v>265</v>
      </c>
      <c r="BP63" s="344"/>
      <c r="BQ63" s="344"/>
      <c r="BR63" s="344"/>
      <c r="BS63" s="344"/>
      <c r="BT63" s="344" t="s">
        <v>266</v>
      </c>
      <c r="BU63" s="154"/>
      <c r="BV63" s="154"/>
      <c r="BW63" s="154"/>
      <c r="BX63" s="154"/>
      <c r="BY63" s="344" t="s">
        <v>267</v>
      </c>
      <c r="BZ63" s="154"/>
      <c r="CA63" s="154"/>
      <c r="CB63" s="154"/>
      <c r="CC63" s="154"/>
      <c r="CD63" s="154"/>
      <c r="CE63" s="344" t="s">
        <v>261</v>
      </c>
    </row>
    <row r="64" spans="1:83">
      <c r="C64" t="s">
        <v>89</v>
      </c>
      <c r="H64" s="154"/>
      <c r="M64" s="154"/>
      <c r="S64" s="154"/>
      <c r="X64" s="154"/>
      <c r="Y64">
        <v>1</v>
      </c>
      <c r="Z64">
        <v>1.5</v>
      </c>
      <c r="AA64">
        <v>2.25</v>
      </c>
      <c r="AB64">
        <v>1.33</v>
      </c>
      <c r="AC64" s="154"/>
      <c r="AD64">
        <v>4.25</v>
      </c>
      <c r="AE64">
        <v>1</v>
      </c>
      <c r="AI64" s="154"/>
      <c r="AN64" s="154"/>
      <c r="AS64" s="154"/>
      <c r="AY64" s="154"/>
      <c r="BD64" s="154"/>
      <c r="BJ64" s="154"/>
      <c r="BO64" s="344" t="s">
        <v>267</v>
      </c>
      <c r="BP64" s="344"/>
      <c r="BQ64" s="344"/>
      <c r="BR64" s="344"/>
      <c r="BS64" s="344"/>
      <c r="BT64" s="344" t="s">
        <v>268</v>
      </c>
      <c r="BU64" s="154"/>
      <c r="BV64" s="154"/>
      <c r="BW64" s="154"/>
      <c r="BX64" s="154"/>
      <c r="BY64" s="344" t="s">
        <v>269</v>
      </c>
      <c r="BZ64" s="154"/>
      <c r="CA64" s="154"/>
      <c r="CB64" s="154"/>
      <c r="CC64" s="154"/>
      <c r="CD64" s="154"/>
      <c r="CE64" s="344" t="s">
        <v>270</v>
      </c>
    </row>
    <row r="65" spans="1:83" s="11" customFormat="1">
      <c r="A65" s="50" t="s">
        <v>271</v>
      </c>
      <c r="B65" s="54" t="s">
        <v>2</v>
      </c>
      <c r="H65" s="153"/>
      <c r="M65" s="153"/>
      <c r="S65" s="153"/>
      <c r="X65" s="153"/>
      <c r="AC65" s="153"/>
      <c r="AI65" s="153"/>
      <c r="AN65" s="153"/>
      <c r="AS65" s="153"/>
      <c r="AY65" s="153"/>
      <c r="BD65" s="153"/>
      <c r="BJ65" s="153"/>
      <c r="BO65" s="341"/>
      <c r="BP65" s="341"/>
      <c r="BQ65" s="341"/>
      <c r="BR65" s="341"/>
      <c r="BS65" s="341"/>
      <c r="BT65" s="341"/>
      <c r="BU65" s="153"/>
      <c r="BV65" s="153"/>
      <c r="BW65" s="153"/>
      <c r="BX65" s="153"/>
      <c r="BY65" s="341"/>
      <c r="BZ65" s="153"/>
      <c r="CA65" s="153"/>
      <c r="CB65" s="153"/>
      <c r="CC65" s="153"/>
      <c r="CD65" s="153"/>
      <c r="CE65" s="341"/>
    </row>
    <row r="66" spans="1:83">
      <c r="B66" s="56" t="s">
        <v>272</v>
      </c>
      <c r="C66" t="s">
        <v>76</v>
      </c>
      <c r="H66" s="155"/>
      <c r="I66" s="26"/>
      <c r="J66" s="26"/>
      <c r="K66" s="26"/>
      <c r="L66" s="26"/>
      <c r="M66" s="155"/>
      <c r="N66" s="26"/>
      <c r="O66" s="26"/>
      <c r="P66" s="26"/>
      <c r="Q66" s="26"/>
      <c r="R66" s="26"/>
      <c r="S66" s="155"/>
      <c r="T66" s="26"/>
      <c r="U66" s="338"/>
      <c r="V66" s="26"/>
      <c r="W66" s="26"/>
      <c r="X66" s="339"/>
      <c r="Y66" s="26"/>
      <c r="Z66" s="26"/>
      <c r="AA66" s="26"/>
      <c r="AB66" s="26"/>
      <c r="AC66" s="155"/>
      <c r="AD66" s="26"/>
      <c r="AE66" s="26"/>
      <c r="AF66" s="26"/>
      <c r="AG66" s="26"/>
      <c r="AH66" s="26"/>
      <c r="AI66" s="155"/>
      <c r="AJ66" s="26"/>
      <c r="AK66" s="26"/>
      <c r="AL66" s="26"/>
      <c r="AM66" s="26"/>
      <c r="AN66" s="155"/>
      <c r="AO66" s="26"/>
      <c r="AP66" s="26"/>
      <c r="AQ66" s="26"/>
      <c r="AR66" s="26"/>
      <c r="AS66" s="155">
        <v>0.52</v>
      </c>
      <c r="AT66" s="26"/>
      <c r="AU66" s="26"/>
      <c r="AV66" s="26"/>
      <c r="AW66" s="26"/>
      <c r="AX66" s="26"/>
      <c r="AY66" s="155">
        <v>0.5</v>
      </c>
      <c r="AZ66" s="26"/>
      <c r="BA66" s="26"/>
      <c r="BB66" s="26"/>
      <c r="BC66" s="26"/>
      <c r="BD66" s="155">
        <v>0.51</v>
      </c>
      <c r="BE66" s="26"/>
      <c r="BF66" s="26"/>
      <c r="BG66" s="26"/>
      <c r="BH66" s="26"/>
      <c r="BI66" s="26"/>
      <c r="BJ66" s="155">
        <v>0.47</v>
      </c>
      <c r="BK66" s="26"/>
      <c r="BL66" s="26"/>
      <c r="BM66" s="26"/>
      <c r="BN66" s="26"/>
      <c r="BO66" s="345">
        <v>0.47</v>
      </c>
      <c r="BP66" s="345"/>
      <c r="BQ66" s="345"/>
      <c r="BR66" s="345"/>
      <c r="BS66" s="345"/>
      <c r="BT66" s="345">
        <v>0.47</v>
      </c>
      <c r="BU66" s="155"/>
      <c r="BV66" s="155"/>
      <c r="BW66" s="155"/>
      <c r="BX66" s="155"/>
      <c r="BY66" s="345"/>
      <c r="BZ66" s="155"/>
      <c r="CA66" s="155"/>
      <c r="CB66" s="155"/>
      <c r="CC66" s="155"/>
      <c r="CD66" s="155"/>
      <c r="CE66" s="345"/>
    </row>
    <row r="67" spans="1:83">
      <c r="C67" t="s">
        <v>77</v>
      </c>
      <c r="H67" s="155"/>
      <c r="I67" s="26"/>
      <c r="J67" s="26"/>
      <c r="K67" s="26"/>
      <c r="L67" s="26"/>
      <c r="M67" s="155"/>
      <c r="N67" s="26"/>
      <c r="O67" s="26"/>
      <c r="P67" s="26"/>
      <c r="Q67" s="26"/>
      <c r="R67" s="26"/>
      <c r="S67" s="155"/>
      <c r="T67" s="26"/>
      <c r="U67" s="26"/>
      <c r="V67" s="26"/>
      <c r="W67" s="26"/>
      <c r="X67" s="155"/>
      <c r="Y67" s="26"/>
      <c r="Z67" s="26"/>
      <c r="AA67" s="26"/>
      <c r="AB67" s="26"/>
      <c r="AC67" s="155"/>
      <c r="AD67" s="26"/>
      <c r="AE67" s="26"/>
      <c r="AF67" s="26"/>
      <c r="AG67" s="26"/>
      <c r="AH67" s="26"/>
      <c r="AI67" s="155"/>
      <c r="AJ67" s="26"/>
      <c r="AK67" s="26"/>
      <c r="AL67" s="26"/>
      <c r="AM67" s="26"/>
      <c r="AN67" s="155"/>
      <c r="AO67" s="26"/>
      <c r="AP67" s="26"/>
      <c r="AQ67" s="26"/>
      <c r="AR67" s="26"/>
      <c r="AS67" s="155">
        <v>0.39</v>
      </c>
      <c r="AT67" s="26"/>
      <c r="AU67" s="26"/>
      <c r="AV67" s="26"/>
      <c r="AW67" s="26"/>
      <c r="AX67" s="26"/>
      <c r="AY67" s="155">
        <v>0.41</v>
      </c>
      <c r="AZ67" s="26"/>
      <c r="BA67" s="26"/>
      <c r="BB67" s="26"/>
      <c r="BC67" s="26"/>
      <c r="BD67" s="155">
        <v>0.36</v>
      </c>
      <c r="BE67" s="26"/>
      <c r="BF67" s="26"/>
      <c r="BG67" s="26"/>
      <c r="BH67" s="26"/>
      <c r="BI67" s="26"/>
      <c r="BJ67" s="155">
        <v>0.17</v>
      </c>
      <c r="BK67" s="26"/>
      <c r="BL67" s="26"/>
      <c r="BM67" s="26"/>
      <c r="BN67" s="26"/>
      <c r="BO67" s="345">
        <v>0.27</v>
      </c>
      <c r="BP67" s="345"/>
      <c r="BQ67" s="345"/>
      <c r="BR67" s="345"/>
      <c r="BS67" s="345"/>
      <c r="BT67" s="345">
        <v>0.25</v>
      </c>
      <c r="BU67" s="155"/>
      <c r="BV67" s="155"/>
      <c r="BW67" s="155"/>
      <c r="BX67" s="155"/>
      <c r="BY67" s="345"/>
      <c r="BZ67" s="155"/>
      <c r="CA67" s="155"/>
      <c r="CB67" s="155"/>
      <c r="CC67" s="155"/>
      <c r="CD67" s="155"/>
      <c r="CE67" s="345"/>
    </row>
    <row r="68" spans="1:83">
      <c r="C68" t="s">
        <v>78</v>
      </c>
      <c r="H68" s="155"/>
      <c r="I68" s="26"/>
      <c r="J68" s="26"/>
      <c r="K68" s="26"/>
      <c r="L68" s="26"/>
      <c r="M68" s="155"/>
      <c r="N68" s="26"/>
      <c r="O68" s="26"/>
      <c r="P68" s="26"/>
      <c r="Q68" s="26"/>
      <c r="R68" s="26"/>
      <c r="S68" s="155"/>
      <c r="T68" s="26"/>
      <c r="U68" s="26"/>
      <c r="V68" s="26"/>
      <c r="W68" s="26"/>
      <c r="X68" s="155"/>
      <c r="Y68" s="26"/>
      <c r="Z68" s="26"/>
      <c r="AA68" s="26"/>
      <c r="AB68" s="26"/>
      <c r="AC68" s="155"/>
      <c r="AD68" s="26"/>
      <c r="AE68" s="26"/>
      <c r="AF68" s="26"/>
      <c r="AG68" s="26"/>
      <c r="AH68" s="26"/>
      <c r="AI68" s="155"/>
      <c r="AJ68" s="26"/>
      <c r="AK68" s="26"/>
      <c r="AL68" s="26"/>
      <c r="AM68" s="26"/>
      <c r="AN68" s="155"/>
      <c r="AO68" s="26"/>
      <c r="AP68" s="26"/>
      <c r="AQ68" s="26"/>
      <c r="AR68" s="26"/>
      <c r="AS68" s="155">
        <v>0.39</v>
      </c>
      <c r="AT68" s="26"/>
      <c r="AU68" s="26"/>
      <c r="AV68" s="26"/>
      <c r="AW68" s="26"/>
      <c r="AX68" s="26"/>
      <c r="AY68" s="155">
        <v>0.17</v>
      </c>
      <c r="AZ68" s="26"/>
      <c r="BA68" s="26"/>
      <c r="BB68" s="26"/>
      <c r="BC68" s="26"/>
      <c r="BD68" s="155">
        <v>-0.04</v>
      </c>
      <c r="BE68" s="26"/>
      <c r="BF68" s="26"/>
      <c r="BG68" s="26"/>
      <c r="BH68" s="26"/>
      <c r="BI68" s="26"/>
      <c r="BJ68" s="155">
        <v>0.01</v>
      </c>
      <c r="BK68" s="26"/>
      <c r="BL68" s="26"/>
      <c r="BM68" s="26"/>
      <c r="BN68" s="26"/>
      <c r="BO68" s="345">
        <v>0.44</v>
      </c>
      <c r="BP68" s="345"/>
      <c r="BQ68" s="345"/>
      <c r="BR68" s="345"/>
      <c r="BS68" s="345"/>
      <c r="BT68" s="345">
        <v>0.47</v>
      </c>
      <c r="BU68" s="155"/>
      <c r="BV68" s="155"/>
      <c r="BW68" s="155"/>
      <c r="BX68" s="155"/>
      <c r="BY68" s="345"/>
      <c r="BZ68" s="155"/>
      <c r="CA68" s="155"/>
      <c r="CB68" s="155"/>
      <c r="CC68" s="155"/>
      <c r="CD68" s="155"/>
      <c r="CE68" s="345"/>
    </row>
    <row r="69" spans="1:83">
      <c r="C69" t="s">
        <v>89</v>
      </c>
      <c r="H69" s="155"/>
      <c r="I69" s="26"/>
      <c r="J69" s="26"/>
      <c r="K69" s="26"/>
      <c r="L69" s="26"/>
      <c r="M69" s="155"/>
      <c r="N69" s="26"/>
      <c r="O69" s="26"/>
      <c r="P69" s="26"/>
      <c r="Q69" s="26"/>
      <c r="R69" s="26"/>
      <c r="S69" s="155"/>
      <c r="T69" s="26"/>
      <c r="U69" s="26"/>
      <c r="V69" s="26"/>
      <c r="W69" s="26"/>
      <c r="X69" s="155"/>
      <c r="Y69" s="26"/>
      <c r="Z69" s="26"/>
      <c r="AA69" s="26"/>
      <c r="AB69" s="26"/>
      <c r="AC69" s="155"/>
      <c r="AD69" s="26"/>
      <c r="AE69" s="26"/>
      <c r="AF69" s="26"/>
      <c r="AG69" s="26"/>
      <c r="AH69" s="26"/>
      <c r="AI69" s="155"/>
      <c r="AJ69" s="26"/>
      <c r="AK69" s="26"/>
      <c r="AL69" s="26"/>
      <c r="AM69" s="26"/>
      <c r="AN69" s="155"/>
      <c r="AO69" s="26"/>
      <c r="AP69" s="26"/>
      <c r="AQ69" s="26"/>
      <c r="AR69" s="26"/>
      <c r="AS69" s="155">
        <v>0.46</v>
      </c>
      <c r="AT69" s="26"/>
      <c r="AU69" s="26"/>
      <c r="AV69" s="26"/>
      <c r="AW69" s="26"/>
      <c r="AX69" s="26"/>
      <c r="AY69" s="155">
        <v>0.43</v>
      </c>
      <c r="AZ69" s="26"/>
      <c r="BA69" s="26"/>
      <c r="BB69" s="26"/>
      <c r="BC69" s="26"/>
      <c r="BD69" s="155">
        <v>0.42</v>
      </c>
      <c r="BE69" s="26"/>
      <c r="BF69" s="26"/>
      <c r="BG69" s="26"/>
      <c r="BH69" s="26"/>
      <c r="BI69" s="26"/>
      <c r="BJ69" s="155">
        <v>0.45</v>
      </c>
      <c r="BK69" s="26"/>
      <c r="BL69" s="26"/>
      <c r="BM69" s="26"/>
      <c r="BN69" s="26"/>
      <c r="BO69" s="345">
        <v>0.42</v>
      </c>
      <c r="BP69" s="345"/>
      <c r="BQ69" s="345"/>
      <c r="BR69" s="345"/>
      <c r="BS69" s="345"/>
      <c r="BT69" s="345">
        <v>0.54</v>
      </c>
      <c r="BU69" s="155"/>
      <c r="BV69" s="155"/>
      <c r="BW69" s="155"/>
      <c r="BX69" s="155"/>
      <c r="BY69" s="345"/>
      <c r="BZ69" s="155"/>
      <c r="CA69" s="155"/>
      <c r="CB69" s="155"/>
      <c r="CC69" s="155"/>
      <c r="CD69" s="155"/>
      <c r="CE69" s="345"/>
    </row>
    <row r="70" spans="1:83" s="11" customFormat="1">
      <c r="A70" s="50" t="s">
        <v>273</v>
      </c>
      <c r="B70" s="54" t="s">
        <v>2</v>
      </c>
      <c r="H70" s="289"/>
      <c r="I70" s="290"/>
      <c r="J70" s="290"/>
      <c r="K70" s="290"/>
      <c r="L70" s="291"/>
      <c r="M70" s="289"/>
      <c r="N70" s="290"/>
      <c r="O70" s="290"/>
      <c r="P70" s="292"/>
      <c r="Q70" s="290"/>
      <c r="R70" s="291"/>
      <c r="S70" s="289"/>
      <c r="T70" s="290"/>
      <c r="U70" s="290"/>
      <c r="V70" s="290"/>
      <c r="W70" s="291"/>
      <c r="X70" s="289"/>
      <c r="Y70" s="290"/>
      <c r="Z70" s="290"/>
      <c r="AA70" s="290"/>
      <c r="AB70" s="291"/>
      <c r="AC70" s="289"/>
      <c r="AD70" s="290"/>
      <c r="AE70" s="290"/>
      <c r="AF70" s="290"/>
      <c r="AG70" s="290"/>
      <c r="AH70" s="291"/>
      <c r="AI70" s="293"/>
      <c r="AN70" s="293"/>
      <c r="AS70" s="153"/>
      <c r="AY70" s="153"/>
      <c r="BD70" s="153"/>
      <c r="BJ70" s="153"/>
      <c r="BO70" s="341"/>
      <c r="BP70" s="341"/>
      <c r="BQ70" s="341"/>
      <c r="BR70" s="341"/>
      <c r="BS70" s="341"/>
      <c r="BT70" s="341"/>
      <c r="BU70" s="153"/>
      <c r="BV70" s="153"/>
      <c r="BW70" s="153"/>
      <c r="BX70" s="153"/>
      <c r="BY70" s="341"/>
      <c r="BZ70" s="153"/>
      <c r="CA70" s="153"/>
      <c r="CB70" s="153"/>
      <c r="CC70" s="153"/>
      <c r="CD70" s="153"/>
      <c r="CE70" s="341"/>
    </row>
    <row r="71" spans="1:83">
      <c r="B71" s="59">
        <v>7</v>
      </c>
      <c r="C71" t="s">
        <v>76</v>
      </c>
      <c r="D71" s="61">
        <v>7.7</v>
      </c>
      <c r="G71" s="286"/>
      <c r="H71" s="168">
        <v>7.41</v>
      </c>
      <c r="M71" s="168">
        <f>22223.98/'Company Scorecard'!T$50</f>
        <v>8.4373500379650714</v>
      </c>
      <c r="S71" s="168">
        <v>7.02</v>
      </c>
      <c r="X71" s="168">
        <v>7.41</v>
      </c>
      <c r="AC71" s="168">
        <v>7.2</v>
      </c>
      <c r="AD71" s="61"/>
      <c r="AE71" s="61"/>
      <c r="AF71" s="61"/>
      <c r="AG71" s="61"/>
      <c r="AH71" s="61"/>
      <c r="AI71" s="168">
        <v>8.2100000000000009</v>
      </c>
      <c r="AN71" s="168">
        <v>6.84</v>
      </c>
      <c r="AS71" s="168">
        <v>7.21</v>
      </c>
      <c r="AY71" s="168">
        <f>25426.93/'Company Scorecard'!BF50</f>
        <v>7.4478412419449329</v>
      </c>
      <c r="BD71" s="168">
        <v>7.08</v>
      </c>
      <c r="BJ71" s="168">
        <v>7.48</v>
      </c>
      <c r="BO71" s="347">
        <f>22622.8/'Company Scorecard'!BV50</f>
        <v>6.3227501397428725</v>
      </c>
      <c r="BP71" s="347">
        <f>22622.8/'Company Scorecard'!BW50</f>
        <v>27.860591133004924</v>
      </c>
      <c r="BQ71" s="347">
        <f>22622.8/'Company Scorecard'!BX50</f>
        <v>26.709327036599763</v>
      </c>
      <c r="BR71" s="347">
        <f>22622.8/'Company Scorecard'!BY50</f>
        <v>26.490398126463699</v>
      </c>
      <c r="BS71" s="347">
        <f>22622.8/'Company Scorecard'!BZ50</f>
        <v>26.275029036004646</v>
      </c>
      <c r="BT71" s="347">
        <f>21462.57/'Company Scorecard'!CA50</f>
        <v>6.3895713009824355</v>
      </c>
      <c r="BU71" s="168"/>
      <c r="BV71" s="168"/>
      <c r="BW71" s="168"/>
      <c r="BX71" s="168"/>
      <c r="BY71" s="347">
        <v>6</v>
      </c>
      <c r="BZ71" s="168"/>
      <c r="CA71" s="168"/>
      <c r="CB71" s="168"/>
      <c r="CC71" s="168"/>
      <c r="CD71" s="168"/>
      <c r="CE71" s="347"/>
    </row>
    <row r="72" spans="1:83">
      <c r="B72" s="59">
        <v>7</v>
      </c>
      <c r="C72" t="s">
        <v>77</v>
      </c>
      <c r="D72" s="61">
        <v>8.61</v>
      </c>
      <c r="G72" s="286"/>
      <c r="H72" s="168">
        <v>6.56</v>
      </c>
      <c r="M72" s="168">
        <v>13.23</v>
      </c>
      <c r="S72" s="168">
        <v>8.4700000000000006</v>
      </c>
      <c r="X72" s="168">
        <v>8.0399999999999991</v>
      </c>
      <c r="AC72" s="168">
        <v>7.78</v>
      </c>
      <c r="AD72" s="61"/>
      <c r="AE72" s="61"/>
      <c r="AF72" s="61"/>
      <c r="AG72" s="61"/>
      <c r="AH72" s="61"/>
      <c r="AI72" s="168">
        <v>8.4700000000000006</v>
      </c>
      <c r="AN72" s="168">
        <v>7.69</v>
      </c>
      <c r="AS72" s="168">
        <v>7.5</v>
      </c>
      <c r="AY72" s="168">
        <f>10098.96/'Company Scorecard'!BF51</f>
        <v>7.2811535688536404</v>
      </c>
      <c r="BD72" s="168">
        <v>7.54</v>
      </c>
      <c r="BJ72" s="168">
        <v>7.78</v>
      </c>
      <c r="BO72" s="347">
        <f>8522.37/'Company Scorecard'!BV51</f>
        <v>6.8728790322580648</v>
      </c>
      <c r="BP72" s="347">
        <f>8522.37/'Company Scorecard'!BW51</f>
        <v>31.21747252747253</v>
      </c>
      <c r="BQ72" s="347">
        <f>8522.37/'Company Scorecard'!BX51</f>
        <v>28.987653061224492</v>
      </c>
      <c r="BR72" s="347">
        <f>8522.37/'Company Scorecard'!BY51</f>
        <v>28.987653061224492</v>
      </c>
      <c r="BS72" s="347">
        <f>8522.37/'Company Scorecard'!BZ51</f>
        <v>28.313521594684389</v>
      </c>
      <c r="BT72" s="347">
        <f>7295.51/'Company Scorecard'!CA51</f>
        <v>6.3055401901469317</v>
      </c>
      <c r="BU72" s="168"/>
      <c r="BV72" s="168"/>
      <c r="BW72" s="168"/>
      <c r="BX72" s="168"/>
      <c r="BY72" s="347">
        <f>8115.48/'Company Scorecard'!CF51</f>
        <v>5.8259009332376159</v>
      </c>
      <c r="BZ72" s="168"/>
      <c r="CA72" s="168"/>
      <c r="CB72" s="168"/>
      <c r="CC72" s="168"/>
      <c r="CD72" s="168"/>
      <c r="CE72" s="347"/>
    </row>
    <row r="73" spans="1:83">
      <c r="B73" s="59">
        <v>7</v>
      </c>
      <c r="C73" t="s">
        <v>78</v>
      </c>
      <c r="D73" s="61">
        <v>10.7</v>
      </c>
      <c r="G73" s="286"/>
      <c r="H73" s="168">
        <f>7472.19/'Company Scorecard'!O52</f>
        <v>10.988514705882352</v>
      </c>
      <c r="M73" s="168">
        <f>7273.5/'Company Scorecard'!T$52</f>
        <v>9.4461038961038959</v>
      </c>
      <c r="S73" s="168">
        <v>6.56</v>
      </c>
      <c r="X73" s="168">
        <v>5.84</v>
      </c>
      <c r="AC73" s="168">
        <v>5.58</v>
      </c>
      <c r="AD73" s="61"/>
      <c r="AE73" s="61"/>
      <c r="AF73" s="61"/>
      <c r="AG73" s="61"/>
      <c r="AH73" s="61"/>
      <c r="AI73" s="168">
        <v>7.96</v>
      </c>
      <c r="AN73" s="168">
        <v>7.61</v>
      </c>
      <c r="AS73" s="168">
        <v>8.1</v>
      </c>
      <c r="AY73" s="168">
        <f>6335.69/'Company Scorecard'!BF52</f>
        <v>8.1962354463130662</v>
      </c>
      <c r="BD73" s="168">
        <v>8.0299999999999994</v>
      </c>
      <c r="BJ73" s="168">
        <v>6.98</v>
      </c>
      <c r="BO73" s="347">
        <f>4645.94/'Company Scorecard'!BV52</f>
        <v>6.1454232804232802</v>
      </c>
      <c r="BP73" s="347">
        <f>4645.94/'Company Scorecard'!BW52</f>
        <v>30.168441558441558</v>
      </c>
      <c r="BQ73" s="347">
        <f>4645.94/'Company Scorecard'!BX52</f>
        <v>33.185285714285712</v>
      </c>
      <c r="BR73" s="347">
        <f>4645.94/'Company Scorecard'!BY52</f>
        <v>36.872539682539681</v>
      </c>
      <c r="BS73" s="347">
        <f>4645.94/'Company Scorecard'!BZ52</f>
        <v>36.872539682539681</v>
      </c>
      <c r="BT73" s="347">
        <f>4320.93/'Company Scorecard'!CA52</f>
        <v>7.8705464480874321</v>
      </c>
      <c r="BU73" s="168"/>
      <c r="BV73" s="168"/>
      <c r="BW73" s="168"/>
      <c r="BX73" s="168"/>
      <c r="BY73" s="347">
        <f>3915.35/'Company Scorecard'!CF52</f>
        <v>6.979233511586453</v>
      </c>
      <c r="BZ73" s="168"/>
      <c r="CA73" s="168"/>
      <c r="CB73" s="168"/>
      <c r="CC73" s="168"/>
      <c r="CD73" s="168"/>
      <c r="CE73" s="347"/>
    </row>
    <row r="74" spans="1:83">
      <c r="B74" s="59">
        <v>7</v>
      </c>
      <c r="C74" t="s">
        <v>89</v>
      </c>
      <c r="D74" s="61">
        <v>7.7</v>
      </c>
      <c r="G74" s="286"/>
      <c r="H74" s="168">
        <f>14346/'Company Scorecard'!O53</f>
        <v>7.2061482820976499</v>
      </c>
      <c r="M74" s="168">
        <f>17163/'Company Scorecard'!T$53</f>
        <v>6.6704236300038868</v>
      </c>
      <c r="S74" s="168">
        <v>6.52</v>
      </c>
      <c r="X74" s="168">
        <v>6.37</v>
      </c>
      <c r="AC74" s="168">
        <v>6.41</v>
      </c>
      <c r="AD74" s="61"/>
      <c r="AE74" s="61"/>
      <c r="AF74" s="61"/>
      <c r="AG74" s="61"/>
      <c r="AH74" s="61"/>
      <c r="AI74" s="168">
        <v>6.25</v>
      </c>
      <c r="AN74" s="168">
        <v>6.36</v>
      </c>
      <c r="AS74" s="168">
        <v>6.35</v>
      </c>
      <c r="AY74" s="168">
        <f>17826.5/'Company Scorecard'!BF53</f>
        <v>6.2902258292166549</v>
      </c>
      <c r="BD74" s="168">
        <v>6.68</v>
      </c>
      <c r="BJ74" s="168">
        <v>6.56</v>
      </c>
      <c r="BO74" s="347">
        <f>19520.5/'Company Scorecard'!BV53</f>
        <v>6.4658827426300096</v>
      </c>
      <c r="BP74" s="347">
        <f>19520.5/'Company Scorecard'!BW53</f>
        <v>27.886428571428571</v>
      </c>
      <c r="BQ74" s="347">
        <f>19520.5/'Company Scorecard'!BX53</f>
        <v>28.168109668109668</v>
      </c>
      <c r="BR74" s="347">
        <f>19520.5/'Company Scorecard'!BY53</f>
        <v>28.455539358600582</v>
      </c>
      <c r="BS74" s="347">
        <f>19520.5/'Company Scorecard'!BZ53</f>
        <v>28.748895434462444</v>
      </c>
      <c r="BT74" s="347">
        <f>19174/'Company Scorecard'!CA53</f>
        <v>6.9571843251088534</v>
      </c>
      <c r="BU74" s="168"/>
      <c r="BV74" s="168"/>
      <c r="BW74" s="168"/>
      <c r="BX74" s="168"/>
      <c r="BY74" s="347">
        <f>18696.5/'Company Scorecard'!CF53</f>
        <v>6.5076575008701703</v>
      </c>
      <c r="BZ74" s="168"/>
      <c r="CA74" s="168"/>
      <c r="CB74" s="168"/>
      <c r="CC74" s="168"/>
      <c r="CD74" s="168"/>
      <c r="CE74" s="347"/>
    </row>
    <row r="75" spans="1:83" s="11" customFormat="1">
      <c r="A75" s="50" t="s">
        <v>274</v>
      </c>
      <c r="B75" s="54" t="s">
        <v>2</v>
      </c>
      <c r="G75" s="287"/>
      <c r="H75" s="165"/>
      <c r="M75" s="165"/>
      <c r="S75" s="165"/>
      <c r="X75" s="165"/>
      <c r="AC75" s="165"/>
      <c r="AD75" s="128"/>
      <c r="AE75" s="128"/>
      <c r="AF75" s="128"/>
      <c r="AG75" s="128"/>
      <c r="AH75" s="128"/>
      <c r="AI75" s="165"/>
      <c r="AN75" s="165"/>
      <c r="AS75" s="165"/>
      <c r="AY75" s="165"/>
      <c r="BD75" s="165"/>
      <c r="BJ75" s="165"/>
      <c r="BO75" s="348"/>
      <c r="BP75" s="348"/>
      <c r="BQ75" s="348"/>
      <c r="BR75" s="348"/>
      <c r="BS75" s="348"/>
      <c r="BT75" s="348"/>
      <c r="BU75" s="165"/>
      <c r="BV75" s="165"/>
      <c r="BW75" s="165"/>
      <c r="BX75" s="165"/>
      <c r="BY75" s="348"/>
      <c r="BZ75" s="165"/>
      <c r="CA75" s="165"/>
      <c r="CB75" s="165"/>
      <c r="CC75" s="165"/>
      <c r="CD75" s="165"/>
      <c r="CE75" s="348"/>
    </row>
    <row r="76" spans="1:83">
      <c r="B76" s="59">
        <v>6</v>
      </c>
      <c r="C76" t="s">
        <v>76</v>
      </c>
      <c r="D76" s="61">
        <v>6.71</v>
      </c>
      <c r="G76" s="286"/>
      <c r="H76" s="168">
        <v>5.69</v>
      </c>
      <c r="M76" s="168">
        <f>15332/'Company Scorecard'!T$50</f>
        <v>5.8208048595292334</v>
      </c>
      <c r="S76" s="168">
        <v>5.84</v>
      </c>
      <c r="X76" s="168">
        <v>5.97</v>
      </c>
      <c r="AC76" s="168">
        <v>5.8</v>
      </c>
      <c r="AD76" s="61"/>
      <c r="AE76" s="61"/>
      <c r="AF76" s="61"/>
      <c r="AG76" s="61"/>
      <c r="AH76" s="61"/>
      <c r="AI76" s="168">
        <v>5.51</v>
      </c>
      <c r="AN76" s="168">
        <v>5.79</v>
      </c>
      <c r="AS76" s="168">
        <v>5.72</v>
      </c>
      <c r="AY76" s="168">
        <f>19082.46/'Company Scorecard'!BF50</f>
        <v>5.5894727592267133</v>
      </c>
      <c r="BD76" s="168">
        <v>5.49</v>
      </c>
      <c r="BJ76" s="168">
        <v>5.48</v>
      </c>
      <c r="BO76" s="347">
        <v>5.56</v>
      </c>
      <c r="BP76" s="347">
        <f>19686.43/'Company Scorecard'!BW50</f>
        <v>24.244371921182267</v>
      </c>
      <c r="BQ76" s="347">
        <f>19686.43/'Company Scorecard'!BX50</f>
        <v>23.24253837072019</v>
      </c>
      <c r="BR76" s="347">
        <f>19686.43/'Company Scorecard'!BY50</f>
        <v>23.052025761124121</v>
      </c>
      <c r="BS76" s="347">
        <f>19686.43/'Company Scorecard'!BZ50</f>
        <v>22.864610917537746</v>
      </c>
      <c r="BT76" s="347">
        <v>5.69</v>
      </c>
      <c r="BU76" s="168"/>
      <c r="BV76" s="168"/>
      <c r="BW76" s="168"/>
      <c r="BX76" s="168"/>
      <c r="BY76" s="347">
        <f>20779.45/'Company Scorecard'!CF50</f>
        <v>5.3541484153568666</v>
      </c>
      <c r="BZ76" s="168"/>
      <c r="CA76" s="168"/>
      <c r="CB76" s="168"/>
      <c r="CC76" s="168"/>
      <c r="CD76" s="168"/>
      <c r="CE76" s="347"/>
    </row>
    <row r="77" spans="1:83">
      <c r="B77" s="59">
        <v>6</v>
      </c>
      <c r="C77" t="s">
        <v>77</v>
      </c>
      <c r="D77" s="61">
        <v>8.16</v>
      </c>
      <c r="G77" s="286"/>
      <c r="H77" s="168">
        <v>5.09</v>
      </c>
      <c r="M77" s="168">
        <v>6.39</v>
      </c>
      <c r="S77" s="168">
        <v>8.32</v>
      </c>
      <c r="X77" s="168">
        <v>6.39</v>
      </c>
      <c r="AC77" s="168">
        <v>5.92</v>
      </c>
      <c r="AD77" s="61"/>
      <c r="AE77" s="61"/>
      <c r="AF77" s="61"/>
      <c r="AG77" s="61"/>
      <c r="AH77" s="61"/>
      <c r="AI77" s="168">
        <v>7.37</v>
      </c>
      <c r="AN77" s="168">
        <v>6.59</v>
      </c>
      <c r="AS77" s="168">
        <v>6.04</v>
      </c>
      <c r="AY77" s="168">
        <f>8082.22/'Company Scorecard'!BF51</f>
        <v>5.8271232876712329</v>
      </c>
      <c r="BD77" s="168">
        <v>6.47</v>
      </c>
      <c r="BJ77" s="168">
        <v>6.64</v>
      </c>
      <c r="BO77" s="347">
        <f>8050.02/'Company Scorecard'!BV51</f>
        <v>6.4919516129032262</v>
      </c>
      <c r="BP77" s="347">
        <f>8050.02/'Company Scorecard'!BW51</f>
        <v>29.48725274725275</v>
      </c>
      <c r="BQ77" s="347">
        <f>8050.02/'Company Scorecard'!BX51</f>
        <v>27.381020408163266</v>
      </c>
      <c r="BR77" s="347">
        <f>8050.02/'Company Scorecard'!BY51</f>
        <v>27.381020408163266</v>
      </c>
      <c r="BS77" s="347">
        <f>8050.02/'Company Scorecard'!BZ51</f>
        <v>26.744252491694354</v>
      </c>
      <c r="BT77" s="347">
        <f>7306.81/'Company Scorecard'!CA51</f>
        <v>6.3153068280034574</v>
      </c>
      <c r="BU77" s="168"/>
      <c r="BV77" s="168"/>
      <c r="BW77" s="168"/>
      <c r="BX77" s="168"/>
      <c r="BY77" s="347">
        <f>8095.89/'Company Scorecard'!CF51</f>
        <v>5.8118377602297207</v>
      </c>
      <c r="BZ77" s="168"/>
      <c r="CA77" s="168"/>
      <c r="CB77" s="168"/>
      <c r="CC77" s="168"/>
      <c r="CD77" s="168"/>
      <c r="CE77" s="347"/>
    </row>
    <row r="78" spans="1:83">
      <c r="B78" s="59">
        <v>6</v>
      </c>
      <c r="C78" t="s">
        <v>78</v>
      </c>
      <c r="D78" s="61">
        <v>9.5</v>
      </c>
      <c r="G78" s="286"/>
      <c r="H78" s="168">
        <f>6649.32/'Company Scorecard'!O52</f>
        <v>9.7784117647058828</v>
      </c>
      <c r="M78" s="168">
        <f>6497.53/'Company Scorecard'!T$52</f>
        <v>8.4383506493506495</v>
      </c>
      <c r="S78" s="168">
        <v>5.38</v>
      </c>
      <c r="X78" s="168">
        <v>5.49</v>
      </c>
      <c r="AC78" s="168">
        <v>5.0199999999999996</v>
      </c>
      <c r="AD78" s="61"/>
      <c r="AE78" s="61"/>
      <c r="AF78" s="61"/>
      <c r="AG78" s="61"/>
      <c r="AH78" s="61"/>
      <c r="AI78" s="168">
        <v>6.75</v>
      </c>
      <c r="AN78" s="168">
        <v>5.9</v>
      </c>
      <c r="AS78" s="168">
        <v>6.79</v>
      </c>
      <c r="AY78" s="168">
        <f>4927.27/'Company Scorecard'!BF52</f>
        <v>6.3742173350582156</v>
      </c>
      <c r="BD78" s="168">
        <v>6.3</v>
      </c>
      <c r="BJ78" s="168">
        <v>5.24</v>
      </c>
      <c r="BO78" s="347">
        <f>4870.78/'Company Scorecard'!BV52</f>
        <v>6.4428306878306874</v>
      </c>
      <c r="BP78" s="347">
        <f>4870.78/'Company Scorecard'!BW52</f>
        <v>31.628441558441558</v>
      </c>
      <c r="BQ78" s="347">
        <f>4870.78/'Company Scorecard'!BX52</f>
        <v>34.791285714285713</v>
      </c>
      <c r="BR78" s="347">
        <f>4870.78/'Company Scorecard'!BY52</f>
        <v>38.656984126984128</v>
      </c>
      <c r="BS78" s="347">
        <f>4870.78/'Company Scorecard'!BZ52</f>
        <v>38.656984126984128</v>
      </c>
      <c r="BT78" s="347">
        <f>3396.8/'Company Scorecard'!CA52</f>
        <v>6.187249544626594</v>
      </c>
      <c r="BU78" s="168"/>
      <c r="BV78" s="168"/>
      <c r="BW78" s="168"/>
      <c r="BX78" s="168"/>
      <c r="BY78" s="347">
        <f>2861.48/'Company Scorecard'!CF52</f>
        <v>5.1006773618538324</v>
      </c>
      <c r="BZ78" s="168"/>
      <c r="CA78" s="168"/>
      <c r="CB78" s="168"/>
      <c r="CC78" s="168"/>
      <c r="CD78" s="168"/>
      <c r="CE78" s="347"/>
    </row>
    <row r="79" spans="1:83">
      <c r="B79" s="59">
        <v>6</v>
      </c>
      <c r="C79" t="s">
        <v>89</v>
      </c>
      <c r="D79" s="61">
        <v>8.36</v>
      </c>
      <c r="G79" s="286"/>
      <c r="H79" s="168">
        <f>19045.34/'Company Scorecard'!O53</f>
        <v>9.5666767128792465</v>
      </c>
      <c r="M79" s="168">
        <f>23339.5/'Company Scorecard'!T$53</f>
        <v>9.0709288767975131</v>
      </c>
      <c r="S79" s="168">
        <v>8.9600000000000009</v>
      </c>
      <c r="X79" s="168">
        <v>7.67</v>
      </c>
      <c r="AC79" s="168">
        <v>9.16</v>
      </c>
      <c r="AD79" s="61"/>
      <c r="AE79" s="61"/>
      <c r="AF79" s="61"/>
      <c r="AG79" s="61"/>
      <c r="AH79" s="61"/>
      <c r="AI79" s="168">
        <v>6.63</v>
      </c>
      <c r="AN79" s="168">
        <v>6.3</v>
      </c>
      <c r="AS79" s="168">
        <f>18574.31/2706</f>
        <v>6.8641204730229122</v>
      </c>
      <c r="AY79" s="168">
        <f>24211.59/'Company Scorecard'!BF53</f>
        <v>8.5432568807339457</v>
      </c>
      <c r="BD79" s="168">
        <v>6.35</v>
      </c>
      <c r="BJ79" s="168">
        <v>7</v>
      </c>
      <c r="BO79" s="347">
        <f>20998.64/'Company Scorecard'!BV53</f>
        <v>6.9554951970851278</v>
      </c>
      <c r="BP79" s="347">
        <f>20998.64/'Company Scorecard'!BW53</f>
        <v>29.998057142857142</v>
      </c>
      <c r="BQ79" s="347">
        <f>20998.64/'Company Scorecard'!BX53</f>
        <v>30.301067821067821</v>
      </c>
      <c r="BR79" s="347">
        <f>20998.64/'Company Scorecard'!BY53</f>
        <v>30.610262390670552</v>
      </c>
      <c r="BS79" s="347">
        <f>20998.64/'Company Scorecard'!BZ53</f>
        <v>30.925832106038289</v>
      </c>
      <c r="BT79" s="347">
        <f>20998.64/'Company Scorecard'!CA53</f>
        <v>7.6192452830188673</v>
      </c>
      <c r="BU79" s="168"/>
      <c r="BV79" s="168"/>
      <c r="BW79" s="168"/>
      <c r="BX79" s="168"/>
      <c r="BY79" s="347">
        <f>18505.53/'Company Scorecard'!CF53</f>
        <v>6.4411869126348762</v>
      </c>
      <c r="BZ79" s="168"/>
      <c r="CA79" s="168"/>
      <c r="CB79" s="168"/>
      <c r="CC79" s="168"/>
      <c r="CD79" s="168"/>
      <c r="CE79" s="347"/>
    </row>
    <row r="80" spans="1:83" s="11" customFormat="1">
      <c r="A80" s="50" t="s">
        <v>275</v>
      </c>
      <c r="B80" s="54" t="s">
        <v>2</v>
      </c>
      <c r="D80" s="128"/>
      <c r="G80" s="288"/>
      <c r="H80" s="165"/>
      <c r="M80" s="165"/>
      <c r="S80" s="165"/>
      <c r="X80" s="165"/>
      <c r="AC80" s="165"/>
      <c r="AD80" s="128"/>
      <c r="AE80" s="128"/>
      <c r="AF80" s="128"/>
      <c r="AG80" s="128"/>
      <c r="AH80" s="128"/>
      <c r="AI80" s="165"/>
      <c r="AN80" s="165"/>
      <c r="AS80" s="165"/>
      <c r="AY80" s="165"/>
      <c r="BD80" s="165"/>
      <c r="BJ80" s="165"/>
      <c r="BO80" s="348"/>
      <c r="BP80" s="348"/>
      <c r="BQ80" s="348"/>
      <c r="BR80" s="348"/>
      <c r="BS80" s="348"/>
      <c r="BT80" s="348"/>
      <c r="BU80" s="165"/>
      <c r="BV80" s="165"/>
      <c r="BW80" s="165"/>
      <c r="BX80" s="165"/>
      <c r="BY80" s="348"/>
      <c r="BZ80" s="165"/>
      <c r="CA80" s="165"/>
      <c r="CB80" s="165"/>
      <c r="CC80" s="165"/>
      <c r="CD80" s="165"/>
      <c r="CE80" s="348"/>
    </row>
    <row r="81" spans="1:83" ht="15" customHeight="1">
      <c r="B81" s="59">
        <v>5.5</v>
      </c>
      <c r="C81" t="s">
        <v>76</v>
      </c>
      <c r="D81" s="61">
        <v>5.53</v>
      </c>
      <c r="G81" s="286"/>
      <c r="H81" s="168">
        <v>5.88</v>
      </c>
      <c r="M81" s="168">
        <f>15619.47/'Company Scorecard'!T$50</f>
        <v>5.9299430523917991</v>
      </c>
      <c r="S81" s="168">
        <v>5.67</v>
      </c>
      <c r="X81" s="168">
        <v>5.67</v>
      </c>
      <c r="AC81" s="168">
        <v>6.12</v>
      </c>
      <c r="AD81" s="61"/>
      <c r="AE81" s="61"/>
      <c r="AF81" s="61"/>
      <c r="AG81" s="61"/>
      <c r="AH81" s="61"/>
      <c r="AI81" s="168">
        <v>5.35</v>
      </c>
      <c r="AN81" s="168">
        <v>5.92</v>
      </c>
      <c r="AS81" s="168">
        <v>5.48</v>
      </c>
      <c r="AY81" s="168">
        <f>18423.3/'Company Scorecard'!BF50</f>
        <v>5.3963971880492085</v>
      </c>
      <c r="BD81" s="168">
        <v>5.13</v>
      </c>
      <c r="BJ81" s="168">
        <v>5.0199999999999996</v>
      </c>
      <c r="BO81" s="347">
        <v>6.39</v>
      </c>
      <c r="BP81" s="347">
        <v>6.39</v>
      </c>
      <c r="BQ81" s="347">
        <v>6.39</v>
      </c>
      <c r="BR81" s="347">
        <v>6.39</v>
      </c>
      <c r="BS81" s="347">
        <v>6.39</v>
      </c>
      <c r="BT81" s="347">
        <f>22265.63/'Company Scorecard'!CA50</f>
        <v>6.628648407264067</v>
      </c>
      <c r="BU81" s="168"/>
      <c r="BV81" s="168"/>
      <c r="BW81" s="168"/>
      <c r="BX81" s="168"/>
      <c r="BY81" s="347">
        <f>25596.26/'Company Scorecard'!CF50</f>
        <v>6.5952744138108734</v>
      </c>
      <c r="BZ81" s="168"/>
      <c r="CA81" s="168"/>
      <c r="CB81" s="168"/>
      <c r="CC81" s="168"/>
      <c r="CD81" s="168"/>
      <c r="CE81" s="347"/>
    </row>
    <row r="82" spans="1:83">
      <c r="B82" s="59">
        <v>5.5</v>
      </c>
      <c r="C82" t="s">
        <v>77</v>
      </c>
      <c r="D82" s="61">
        <v>6.03</v>
      </c>
      <c r="G82" s="286"/>
      <c r="H82" s="168">
        <v>4.46</v>
      </c>
      <c r="M82" s="168">
        <v>6.12</v>
      </c>
      <c r="S82" s="168">
        <v>7.87</v>
      </c>
      <c r="X82" s="168">
        <v>6.15</v>
      </c>
      <c r="AC82" s="168">
        <v>5.49</v>
      </c>
      <c r="AD82" s="61"/>
      <c r="AE82" s="61"/>
      <c r="AF82" s="61"/>
      <c r="AG82" s="61"/>
      <c r="AH82" s="61"/>
      <c r="AI82" s="168">
        <v>6.72</v>
      </c>
      <c r="AN82" s="168">
        <v>6.06</v>
      </c>
      <c r="AS82" s="168">
        <v>5.69</v>
      </c>
      <c r="AY82" s="168">
        <f>7708.14/'Company Scorecard'!BF51</f>
        <v>5.5574188896899788</v>
      </c>
      <c r="BD82" s="168">
        <v>4.1500000000000004</v>
      </c>
      <c r="BJ82" s="168">
        <v>4.5199999999999996</v>
      </c>
      <c r="BO82" s="347">
        <v>4.5599999999999996</v>
      </c>
      <c r="BP82" s="347">
        <v>4.5599999999999996</v>
      </c>
      <c r="BQ82" s="347">
        <v>4.5599999999999996</v>
      </c>
      <c r="BR82" s="347">
        <v>4.5599999999999996</v>
      </c>
      <c r="BS82" s="347">
        <v>4.5599999999999996</v>
      </c>
      <c r="BT82" s="347">
        <f>5525.1/'Company Scorecard'!CA51</f>
        <v>4.7753673292999137</v>
      </c>
      <c r="BU82" s="168"/>
      <c r="BV82" s="168"/>
      <c r="BW82" s="168"/>
      <c r="BX82" s="168"/>
      <c r="BY82" s="347">
        <f>7858.1/'Company Scorecard'!CF51</f>
        <v>5.6411342426417805</v>
      </c>
      <c r="BZ82" s="168"/>
      <c r="CA82" s="168"/>
      <c r="CB82" s="168"/>
      <c r="CC82" s="168"/>
      <c r="CD82" s="168"/>
      <c r="CE82" s="347"/>
    </row>
    <row r="83" spans="1:83">
      <c r="B83" s="59">
        <v>5.5</v>
      </c>
      <c r="C83" t="s">
        <v>78</v>
      </c>
      <c r="D83" s="61">
        <v>8.15</v>
      </c>
      <c r="G83" s="286"/>
      <c r="H83" s="168">
        <f>6146.22/'Company Scorecard'!O52</f>
        <v>9.0385588235294119</v>
      </c>
      <c r="M83" s="168">
        <f>5671.68/'Company Scorecard'!T$52</f>
        <v>7.3658181818181818</v>
      </c>
      <c r="S83" s="168">
        <v>4.5599999999999996</v>
      </c>
      <c r="X83" s="168">
        <v>5.29</v>
      </c>
      <c r="AC83" s="168">
        <v>4.9800000000000004</v>
      </c>
      <c r="AD83" s="61"/>
      <c r="AE83" s="61"/>
      <c r="AF83" s="61"/>
      <c r="AG83" s="61"/>
      <c r="AH83" s="61"/>
      <c r="AI83" s="168">
        <v>6.3</v>
      </c>
      <c r="AN83" s="168">
        <v>5.55</v>
      </c>
      <c r="AS83" s="168">
        <v>6.22</v>
      </c>
      <c r="AY83" s="168">
        <f>4586.52/'Company Scorecard'!BF52</f>
        <v>5.93340232858991</v>
      </c>
      <c r="BD83" s="168">
        <v>5.72</v>
      </c>
      <c r="BJ83" s="168">
        <v>5.79</v>
      </c>
      <c r="BO83" s="347">
        <v>5.29</v>
      </c>
      <c r="BP83" s="347">
        <v>5.29</v>
      </c>
      <c r="BQ83" s="347">
        <v>5.29</v>
      </c>
      <c r="BR83" s="347">
        <v>5.29</v>
      </c>
      <c r="BS83" s="347">
        <v>5.29</v>
      </c>
      <c r="BT83" s="347">
        <f>2856.223/'Company Scorecard'!CA52</f>
        <v>5.2025919854280511</v>
      </c>
      <c r="BU83" s="168"/>
      <c r="BV83" s="168"/>
      <c r="BW83" s="168"/>
      <c r="BX83" s="168"/>
      <c r="BY83" s="347">
        <f>3891.41/'Company Scorecard'!CF52</f>
        <v>6.9365597147950089</v>
      </c>
      <c r="BZ83" s="168"/>
      <c r="CA83" s="168"/>
      <c r="CB83" s="168"/>
      <c r="CC83" s="168"/>
      <c r="CD83" s="168"/>
      <c r="CE83" s="347"/>
    </row>
    <row r="84" spans="1:83">
      <c r="B84" s="59">
        <v>5.5</v>
      </c>
      <c r="C84" t="s">
        <v>89</v>
      </c>
      <c r="D84" s="61">
        <v>5.43</v>
      </c>
      <c r="G84" s="286"/>
      <c r="H84" s="168">
        <f>8901.8/'Company Scorecard'!O53</f>
        <v>4.4714687562788829</v>
      </c>
      <c r="M84" s="168">
        <f>12205.08/'Company Scorecard'!T$53</f>
        <v>4.7435211815001939</v>
      </c>
      <c r="S84" s="168">
        <v>5.43</v>
      </c>
      <c r="X84" s="168">
        <v>5.01</v>
      </c>
      <c r="AC84" s="168">
        <v>4.38</v>
      </c>
      <c r="AD84" s="61"/>
      <c r="AE84" s="61"/>
      <c r="AF84" s="61"/>
      <c r="AG84" s="61"/>
      <c r="AH84" s="61"/>
      <c r="AI84" s="168">
        <v>4.45</v>
      </c>
      <c r="AN84" s="168">
        <v>4.8099999999999996</v>
      </c>
      <c r="AS84" s="168">
        <f>11260.27/2706</f>
        <v>4.1612232076866222</v>
      </c>
      <c r="AY84" s="168">
        <f>12572.58/'Company Scorecard'!BF53</f>
        <v>4.4363373323923785</v>
      </c>
      <c r="BD84" s="168">
        <v>4.71</v>
      </c>
      <c r="BJ84" s="168">
        <v>4.0599999999999996</v>
      </c>
      <c r="BO84" s="347">
        <v>4.8600000000000003</v>
      </c>
      <c r="BP84" s="347">
        <v>4.8600000000000003</v>
      </c>
      <c r="BQ84" s="347">
        <v>4.8600000000000003</v>
      </c>
      <c r="BR84" s="347">
        <v>4.8600000000000003</v>
      </c>
      <c r="BS84" s="347">
        <v>4.8600000000000003</v>
      </c>
      <c r="BT84" s="347">
        <f>12831.12/'Company Scorecard'!CA53</f>
        <v>4.6557039187227867</v>
      </c>
      <c r="BU84" s="168"/>
      <c r="BV84" s="168"/>
      <c r="BW84" s="168"/>
      <c r="BX84" s="168"/>
      <c r="BY84" s="347">
        <f>13281.39/'Company Scorecard'!CF53</f>
        <v>4.622829794639749</v>
      </c>
      <c r="BZ84" s="168"/>
      <c r="CA84" s="168"/>
      <c r="CB84" s="168"/>
      <c r="CC84" s="168"/>
      <c r="CD84" s="168"/>
      <c r="CE84" s="347"/>
    </row>
    <row r="85" spans="1:83" s="11" customFormat="1" hidden="1">
      <c r="A85" s="50" t="s">
        <v>276</v>
      </c>
      <c r="B85" s="54" t="s">
        <v>2</v>
      </c>
      <c r="H85" s="153"/>
      <c r="M85" s="153"/>
      <c r="S85" s="165"/>
      <c r="X85" s="153"/>
      <c r="AC85" s="153"/>
      <c r="AI85" s="153"/>
      <c r="AN85" s="153"/>
      <c r="AS85" s="153"/>
      <c r="AY85" s="153"/>
      <c r="BD85" s="153"/>
      <c r="BJ85" s="153"/>
      <c r="BO85" s="341"/>
      <c r="BP85" s="341"/>
      <c r="BQ85" s="341"/>
      <c r="BR85" s="341"/>
      <c r="BS85" s="341"/>
      <c r="BT85" s="341"/>
      <c r="BU85" s="153"/>
      <c r="BV85" s="153"/>
      <c r="BW85" s="153"/>
      <c r="BX85" s="153"/>
      <c r="BY85" s="341"/>
      <c r="BZ85" s="153"/>
      <c r="CA85" s="153"/>
      <c r="CB85" s="153"/>
      <c r="CC85" s="153"/>
      <c r="CD85" s="153"/>
      <c r="CE85" s="341"/>
    </row>
    <row r="86" spans="1:83" ht="29.25" hidden="1">
      <c r="A86" s="39" t="s">
        <v>277</v>
      </c>
      <c r="B86" s="58">
        <v>0.97</v>
      </c>
      <c r="C86" t="s">
        <v>76</v>
      </c>
      <c r="H86" s="154"/>
      <c r="M86" s="154"/>
      <c r="S86" s="154"/>
      <c r="X86" s="154"/>
      <c r="AC86" s="154"/>
      <c r="AG86">
        <v>12</v>
      </c>
      <c r="AH86">
        <v>9</v>
      </c>
      <c r="AI86" s="154"/>
      <c r="AJ86">
        <v>14</v>
      </c>
      <c r="AK86">
        <v>15</v>
      </c>
      <c r="AL86">
        <v>10</v>
      </c>
      <c r="AM86">
        <v>10</v>
      </c>
      <c r="AN86" s="154"/>
      <c r="AO86">
        <v>14</v>
      </c>
      <c r="AP86">
        <v>13</v>
      </c>
      <c r="AQ86">
        <v>10</v>
      </c>
      <c r="AR86">
        <v>13</v>
      </c>
      <c r="AS86" s="154"/>
      <c r="AT86">
        <v>10</v>
      </c>
      <c r="AU86">
        <v>10</v>
      </c>
      <c r="AV86">
        <v>14</v>
      </c>
      <c r="AW86">
        <v>10</v>
      </c>
      <c r="AX86">
        <v>18</v>
      </c>
      <c r="AY86" s="154"/>
      <c r="AZ86">
        <v>22</v>
      </c>
      <c r="BA86">
        <v>20</v>
      </c>
      <c r="BB86">
        <v>16</v>
      </c>
      <c r="BC86">
        <v>13</v>
      </c>
      <c r="BD86" s="154"/>
      <c r="BE86">
        <v>16</v>
      </c>
      <c r="BJ86" s="154"/>
      <c r="BO86" s="344"/>
      <c r="BP86" s="344"/>
      <c r="BQ86" s="344"/>
      <c r="BR86" s="344"/>
      <c r="BS86" s="344"/>
      <c r="BT86" s="344"/>
      <c r="BU86" s="154"/>
      <c r="BV86" s="154"/>
      <c r="BW86" s="154"/>
      <c r="BX86" s="154"/>
      <c r="BY86" s="344"/>
      <c r="BZ86" s="154"/>
      <c r="CA86" s="154"/>
      <c r="CB86" s="154"/>
      <c r="CC86" s="154"/>
      <c r="CD86" s="154"/>
      <c r="CE86" s="344"/>
    </row>
    <row r="87" spans="1:83" hidden="1">
      <c r="B87" s="58">
        <v>0.97</v>
      </c>
      <c r="C87" t="s">
        <v>77</v>
      </c>
      <c r="H87" s="154"/>
      <c r="M87" s="154"/>
      <c r="S87" s="154"/>
      <c r="X87" s="154"/>
      <c r="AC87" s="154"/>
      <c r="AG87">
        <v>5</v>
      </c>
      <c r="AH87">
        <v>10</v>
      </c>
      <c r="AI87" s="154"/>
      <c r="AJ87">
        <v>2</v>
      </c>
      <c r="AK87">
        <v>5</v>
      </c>
      <c r="AL87">
        <v>5</v>
      </c>
      <c r="AM87">
        <v>3</v>
      </c>
      <c r="AN87" s="154"/>
      <c r="AO87">
        <v>3</v>
      </c>
      <c r="AP87">
        <v>6</v>
      </c>
      <c r="AQ87">
        <v>2</v>
      </c>
      <c r="AR87">
        <v>4</v>
      </c>
      <c r="AS87" s="154"/>
      <c r="AT87">
        <v>4</v>
      </c>
      <c r="AU87">
        <v>3</v>
      </c>
      <c r="AV87">
        <v>7</v>
      </c>
      <c r="AW87">
        <v>6</v>
      </c>
      <c r="AX87">
        <v>7</v>
      </c>
      <c r="AY87" s="154"/>
      <c r="AZ87">
        <v>7</v>
      </c>
      <c r="BA87">
        <v>11</v>
      </c>
      <c r="BB87">
        <v>8</v>
      </c>
      <c r="BC87">
        <v>8</v>
      </c>
      <c r="BD87" s="154"/>
      <c r="BE87">
        <v>7</v>
      </c>
      <c r="BJ87" s="154"/>
      <c r="BO87" s="344"/>
      <c r="BP87" s="344"/>
      <c r="BQ87" s="344"/>
      <c r="BR87" s="344"/>
      <c r="BS87" s="344"/>
      <c r="BT87" s="344"/>
      <c r="BU87" s="154"/>
      <c r="BV87" s="154"/>
      <c r="BW87" s="154"/>
      <c r="BX87" s="154"/>
      <c r="BY87" s="344"/>
      <c r="BZ87" s="154"/>
      <c r="CA87" s="154"/>
      <c r="CB87" s="154"/>
      <c r="CC87" s="154"/>
      <c r="CD87" s="154"/>
      <c r="CE87" s="344"/>
    </row>
    <row r="88" spans="1:83" hidden="1">
      <c r="B88" s="58">
        <v>0.97</v>
      </c>
      <c r="C88" t="s">
        <v>78</v>
      </c>
      <c r="H88" s="154"/>
      <c r="M88" s="154"/>
      <c r="S88" s="154"/>
      <c r="X88" s="154"/>
      <c r="AC88" s="154"/>
      <c r="AG88">
        <v>2</v>
      </c>
      <c r="AH88">
        <v>6</v>
      </c>
      <c r="AI88" s="154"/>
      <c r="AJ88">
        <v>2</v>
      </c>
      <c r="AK88">
        <v>4</v>
      </c>
      <c r="AL88">
        <v>4</v>
      </c>
      <c r="AM88">
        <v>7</v>
      </c>
      <c r="AN88" s="154"/>
      <c r="AO88">
        <v>1</v>
      </c>
      <c r="AP88">
        <v>2</v>
      </c>
      <c r="AQ88">
        <v>1</v>
      </c>
      <c r="AR88">
        <v>5</v>
      </c>
      <c r="AS88" s="154"/>
      <c r="AT88">
        <v>4</v>
      </c>
      <c r="AU88">
        <v>4</v>
      </c>
      <c r="AV88">
        <v>3</v>
      </c>
      <c r="AW88">
        <v>3</v>
      </c>
      <c r="AX88">
        <v>2</v>
      </c>
      <c r="AY88" s="154"/>
      <c r="AZ88">
        <v>3</v>
      </c>
      <c r="BA88">
        <v>1</v>
      </c>
      <c r="BB88">
        <v>3</v>
      </c>
      <c r="BC88">
        <v>7</v>
      </c>
      <c r="BD88" s="154"/>
      <c r="BE88">
        <v>3</v>
      </c>
      <c r="BJ88" s="154"/>
      <c r="BO88" s="344"/>
      <c r="BP88" s="344"/>
      <c r="BQ88" s="344"/>
      <c r="BR88" s="344"/>
      <c r="BS88" s="344"/>
      <c r="BT88" s="344"/>
      <c r="BU88" s="154"/>
      <c r="BV88" s="154"/>
      <c r="BW88" s="154"/>
      <c r="BX88" s="154"/>
      <c r="BY88" s="344"/>
      <c r="BZ88" s="154"/>
      <c r="CA88" s="154"/>
      <c r="CB88" s="154"/>
      <c r="CC88" s="154"/>
      <c r="CD88" s="154"/>
      <c r="CE88" s="344"/>
    </row>
    <row r="89" spans="1:83" hidden="1">
      <c r="B89" s="58">
        <v>0.97</v>
      </c>
      <c r="C89" t="s">
        <v>89</v>
      </c>
      <c r="H89" s="166"/>
      <c r="M89" s="166"/>
      <c r="S89" s="166"/>
      <c r="X89" s="166"/>
      <c r="AC89" s="166"/>
      <c r="AG89">
        <v>11</v>
      </c>
      <c r="AH89">
        <v>15</v>
      </c>
      <c r="AI89" s="154"/>
      <c r="AJ89">
        <v>14</v>
      </c>
      <c r="AK89">
        <v>9</v>
      </c>
      <c r="AL89">
        <v>15</v>
      </c>
      <c r="AM89">
        <v>11</v>
      </c>
      <c r="AN89" s="154"/>
      <c r="AO89">
        <v>10</v>
      </c>
      <c r="AP89">
        <v>5</v>
      </c>
      <c r="AQ89">
        <v>14</v>
      </c>
      <c r="AR89">
        <v>10</v>
      </c>
      <c r="AS89" s="154"/>
      <c r="AT89">
        <v>5</v>
      </c>
      <c r="AU89">
        <f>11+4</f>
        <v>15</v>
      </c>
      <c r="AV89">
        <v>20</v>
      </c>
      <c r="AW89">
        <v>13</v>
      </c>
      <c r="AX89">
        <v>21</v>
      </c>
      <c r="AY89" s="154"/>
      <c r="AZ89">
        <v>19</v>
      </c>
      <c r="BA89">
        <v>20</v>
      </c>
      <c r="BB89">
        <v>15</v>
      </c>
      <c r="BC89">
        <v>10</v>
      </c>
      <c r="BD89" s="154"/>
      <c r="BE89">
        <f>11+9</f>
        <v>20</v>
      </c>
      <c r="BJ89" s="154"/>
      <c r="BO89" s="344"/>
      <c r="BP89" s="344"/>
      <c r="BQ89" s="344"/>
      <c r="BR89" s="344"/>
      <c r="BS89" s="344"/>
      <c r="BT89" s="344"/>
      <c r="BU89" s="154"/>
      <c r="BV89" s="154"/>
      <c r="BW89" s="154"/>
      <c r="BX89" s="154"/>
      <c r="BY89" s="344"/>
      <c r="BZ89" s="154"/>
      <c r="CA89" s="154"/>
      <c r="CB89" s="154"/>
      <c r="CC89" s="154"/>
      <c r="CD89" s="154"/>
      <c r="CE89" s="344"/>
    </row>
    <row r="90" spans="1:83" hidden="1">
      <c r="A90" s="50" t="s">
        <v>278</v>
      </c>
      <c r="B90" s="54" t="s">
        <v>2</v>
      </c>
      <c r="C90" s="11"/>
      <c r="D90" s="11"/>
      <c r="E90" s="11"/>
      <c r="F90" s="11"/>
      <c r="G90" s="11"/>
      <c r="H90" s="153"/>
      <c r="I90" s="11"/>
      <c r="J90" s="11"/>
      <c r="K90" s="11"/>
      <c r="L90" s="11"/>
      <c r="M90" s="153"/>
      <c r="N90" s="11"/>
      <c r="O90" s="11"/>
      <c r="P90" s="11"/>
      <c r="Q90" s="11"/>
      <c r="R90" s="11"/>
      <c r="S90" s="165"/>
      <c r="T90" s="11"/>
      <c r="U90" s="11"/>
      <c r="V90" s="11"/>
      <c r="W90" s="11"/>
      <c r="X90" s="153"/>
      <c r="Y90" s="11"/>
      <c r="Z90" s="11"/>
      <c r="AA90" s="11"/>
      <c r="AB90" s="11"/>
      <c r="AC90" s="153"/>
      <c r="AD90" s="11"/>
      <c r="AE90" s="11"/>
      <c r="AF90" s="11"/>
      <c r="AG90" s="11"/>
      <c r="AH90" s="11"/>
      <c r="AI90" s="153"/>
      <c r="AJ90" s="11"/>
      <c r="AK90" s="11"/>
      <c r="AL90" s="11"/>
      <c r="AM90" s="11"/>
      <c r="AN90" s="153"/>
      <c r="AO90" s="11"/>
      <c r="AP90" s="11"/>
      <c r="AQ90" s="11"/>
      <c r="AR90" s="11"/>
      <c r="AS90" s="153"/>
      <c r="AT90" s="11"/>
      <c r="AU90" s="11"/>
      <c r="AV90" s="11"/>
      <c r="AW90" s="11"/>
      <c r="AX90" s="11"/>
      <c r="AY90" s="153"/>
      <c r="AZ90" s="11"/>
      <c r="BA90" s="11"/>
      <c r="BB90" s="11"/>
      <c r="BC90" s="11"/>
      <c r="BD90" s="153"/>
      <c r="BE90" s="11"/>
      <c r="BF90" s="11"/>
      <c r="BG90" s="11"/>
      <c r="BH90" s="11"/>
      <c r="BI90" s="11"/>
      <c r="BJ90" s="153"/>
      <c r="BK90" s="11"/>
      <c r="BL90" s="11"/>
      <c r="BM90" s="11"/>
      <c r="BN90" s="11"/>
      <c r="BO90" s="341"/>
      <c r="BP90" s="341"/>
      <c r="BQ90" s="341"/>
      <c r="BR90" s="341"/>
      <c r="BS90" s="341"/>
      <c r="BT90" s="341"/>
      <c r="BU90" s="153"/>
      <c r="BV90" s="153"/>
      <c r="BW90" s="153"/>
      <c r="BX90" s="153"/>
      <c r="BY90" s="341"/>
      <c r="BZ90" s="153"/>
      <c r="CA90" s="153"/>
      <c r="CB90" s="153"/>
      <c r="CC90" s="153"/>
      <c r="CD90" s="153"/>
      <c r="CE90" s="341"/>
    </row>
    <row r="91" spans="1:83" hidden="1">
      <c r="A91" s="39" t="s">
        <v>279</v>
      </c>
      <c r="B91" s="58">
        <v>1</v>
      </c>
      <c r="C91" t="s">
        <v>76</v>
      </c>
      <c r="H91" s="154"/>
      <c r="M91" s="154"/>
      <c r="S91" s="154"/>
      <c r="X91" s="154"/>
      <c r="AC91" s="154"/>
      <c r="AG91">
        <v>5</v>
      </c>
      <c r="AH91">
        <v>5</v>
      </c>
      <c r="AI91" s="154"/>
      <c r="AJ91">
        <v>7</v>
      </c>
      <c r="AK91">
        <v>10</v>
      </c>
      <c r="AL91">
        <v>6</v>
      </c>
      <c r="AM91">
        <v>5</v>
      </c>
      <c r="AN91" s="154"/>
      <c r="AO91">
        <v>7</v>
      </c>
      <c r="AP91">
        <v>7</v>
      </c>
      <c r="AQ91">
        <v>5</v>
      </c>
      <c r="AR91">
        <v>3</v>
      </c>
      <c r="AS91" s="154"/>
      <c r="AT91">
        <v>5</v>
      </c>
      <c r="AU91">
        <v>5</v>
      </c>
      <c r="AV91">
        <v>5</v>
      </c>
      <c r="AW91">
        <v>5</v>
      </c>
      <c r="AX91">
        <v>7</v>
      </c>
      <c r="AY91" s="154"/>
      <c r="AZ91">
        <v>8</v>
      </c>
      <c r="BA91">
        <v>8</v>
      </c>
      <c r="BB91">
        <v>3</v>
      </c>
      <c r="BC91">
        <v>2</v>
      </c>
      <c r="BD91" s="154"/>
      <c r="BE91">
        <v>8</v>
      </c>
      <c r="BJ91" s="154"/>
      <c r="BO91" s="344"/>
      <c r="BP91" s="344"/>
      <c r="BQ91" s="344"/>
      <c r="BR91" s="344"/>
      <c r="BS91" s="344"/>
      <c r="BT91" s="344"/>
      <c r="BU91" s="154"/>
      <c r="BV91" s="154"/>
      <c r="BW91" s="154"/>
      <c r="BX91" s="154"/>
      <c r="BY91" s="344"/>
      <c r="BZ91" s="154"/>
      <c r="CA91" s="154"/>
      <c r="CB91" s="154"/>
      <c r="CC91" s="154"/>
      <c r="CD91" s="154"/>
      <c r="CE91" s="344"/>
    </row>
    <row r="92" spans="1:83" hidden="1">
      <c r="B92" s="58">
        <v>1</v>
      </c>
      <c r="C92" t="s">
        <v>77</v>
      </c>
      <c r="H92" s="154"/>
      <c r="M92" s="154"/>
      <c r="S92" s="154"/>
      <c r="X92" s="154"/>
      <c r="AC92" s="154"/>
      <c r="AG92">
        <v>2</v>
      </c>
      <c r="AH92">
        <v>6</v>
      </c>
      <c r="AI92" s="154"/>
      <c r="AJ92">
        <v>2</v>
      </c>
      <c r="AK92">
        <v>4</v>
      </c>
      <c r="AL92">
        <v>2</v>
      </c>
      <c r="AM92">
        <v>1</v>
      </c>
      <c r="AN92" s="154"/>
      <c r="AO92">
        <v>1</v>
      </c>
      <c r="AP92">
        <v>3</v>
      </c>
      <c r="AQ92">
        <v>1</v>
      </c>
      <c r="AR92">
        <v>2</v>
      </c>
      <c r="AS92" s="154"/>
      <c r="AT92">
        <v>1</v>
      </c>
      <c r="AU92">
        <v>1</v>
      </c>
      <c r="AV92">
        <v>4</v>
      </c>
      <c r="AW92">
        <v>1</v>
      </c>
      <c r="AX92">
        <v>5</v>
      </c>
      <c r="AY92" s="154"/>
      <c r="AZ92">
        <v>2</v>
      </c>
      <c r="BA92">
        <v>3</v>
      </c>
      <c r="BB92">
        <v>1</v>
      </c>
      <c r="BC92">
        <v>1</v>
      </c>
      <c r="BD92" s="154"/>
      <c r="BE92">
        <v>4</v>
      </c>
      <c r="BJ92" s="154"/>
      <c r="BO92" s="344"/>
      <c r="BP92" s="344"/>
      <c r="BQ92" s="344"/>
      <c r="BR92" s="344"/>
      <c r="BS92" s="344"/>
      <c r="BT92" s="344"/>
      <c r="BU92" s="154"/>
      <c r="BV92" s="154"/>
      <c r="BW92" s="154"/>
      <c r="BX92" s="154"/>
      <c r="BY92" s="344"/>
      <c r="BZ92" s="154"/>
      <c r="CA92" s="154"/>
      <c r="CB92" s="154"/>
      <c r="CC92" s="154"/>
      <c r="CD92" s="154"/>
      <c r="CE92" s="344"/>
    </row>
    <row r="93" spans="1:83" hidden="1">
      <c r="B93" s="58">
        <v>1</v>
      </c>
      <c r="C93" t="s">
        <v>78</v>
      </c>
      <c r="H93" s="154"/>
      <c r="M93" s="154"/>
      <c r="S93" s="154"/>
      <c r="X93" s="154"/>
      <c r="AC93" s="154"/>
      <c r="AG93">
        <v>1</v>
      </c>
      <c r="AH93">
        <v>2</v>
      </c>
      <c r="AI93" s="154"/>
      <c r="AJ93">
        <v>0</v>
      </c>
      <c r="AK93">
        <v>3</v>
      </c>
      <c r="AL93">
        <v>1</v>
      </c>
      <c r="AM93">
        <v>3</v>
      </c>
      <c r="AN93" s="154"/>
      <c r="AO93">
        <v>0</v>
      </c>
      <c r="AP93">
        <v>0</v>
      </c>
      <c r="AQ93">
        <v>0</v>
      </c>
      <c r="AR93">
        <v>1</v>
      </c>
      <c r="AS93" s="154"/>
      <c r="AT93">
        <v>1</v>
      </c>
      <c r="AU93">
        <v>2</v>
      </c>
      <c r="AV93">
        <v>1</v>
      </c>
      <c r="AW93">
        <v>1</v>
      </c>
      <c r="AX93">
        <v>1</v>
      </c>
      <c r="AY93" s="154"/>
      <c r="AZ93">
        <v>0</v>
      </c>
      <c r="BA93">
        <v>0</v>
      </c>
      <c r="BB93">
        <v>2</v>
      </c>
      <c r="BC93">
        <v>3</v>
      </c>
      <c r="BD93" s="154"/>
      <c r="BE93">
        <v>0</v>
      </c>
      <c r="BJ93" s="154"/>
      <c r="BO93" s="344"/>
      <c r="BP93" s="344"/>
      <c r="BQ93" s="344"/>
      <c r="BR93" s="344"/>
      <c r="BS93" s="344"/>
      <c r="BT93" s="344"/>
      <c r="BU93" s="154"/>
      <c r="BV93" s="154"/>
      <c r="BW93" s="154"/>
      <c r="BX93" s="154"/>
      <c r="BY93" s="344"/>
      <c r="BZ93" s="154"/>
      <c r="CA93" s="154"/>
      <c r="CB93" s="154"/>
      <c r="CC93" s="154"/>
      <c r="CD93" s="154"/>
      <c r="CE93" s="344"/>
    </row>
    <row r="94" spans="1:83" hidden="1">
      <c r="B94" s="58">
        <v>1</v>
      </c>
      <c r="C94" t="s">
        <v>89</v>
      </c>
      <c r="H94" s="166"/>
      <c r="M94" s="166"/>
      <c r="S94" s="166"/>
      <c r="X94" s="166"/>
      <c r="AC94" s="166"/>
      <c r="AG94">
        <v>7</v>
      </c>
      <c r="AH94">
        <v>8</v>
      </c>
      <c r="AI94" s="166"/>
      <c r="AJ94">
        <v>2</v>
      </c>
      <c r="AK94">
        <v>3</v>
      </c>
      <c r="AL94">
        <v>4</v>
      </c>
      <c r="AM94">
        <v>4</v>
      </c>
      <c r="AN94" s="166"/>
      <c r="AO94">
        <v>4</v>
      </c>
      <c r="AP94">
        <v>2</v>
      </c>
      <c r="AQ94">
        <v>7</v>
      </c>
      <c r="AR94">
        <v>1</v>
      </c>
      <c r="AS94" s="166"/>
      <c r="AT94">
        <v>3</v>
      </c>
      <c r="AU94">
        <v>8</v>
      </c>
      <c r="AV94">
        <v>6</v>
      </c>
      <c r="AW94">
        <v>10</v>
      </c>
      <c r="AX94">
        <v>5</v>
      </c>
      <c r="AY94" s="166"/>
      <c r="AZ94">
        <v>6</v>
      </c>
      <c r="BA94">
        <v>5</v>
      </c>
      <c r="BB94">
        <v>6</v>
      </c>
      <c r="BC94">
        <v>3</v>
      </c>
      <c r="BD94" s="166"/>
      <c r="BE94">
        <v>1</v>
      </c>
      <c r="BJ94" s="166"/>
      <c r="BO94" s="349"/>
      <c r="BP94" s="349"/>
      <c r="BQ94" s="349"/>
      <c r="BR94" s="349"/>
      <c r="BS94" s="349"/>
      <c r="BT94" s="349"/>
      <c r="BU94" s="166"/>
      <c r="BV94" s="166"/>
      <c r="BW94" s="166"/>
      <c r="BX94" s="166"/>
      <c r="BY94" s="349"/>
      <c r="BZ94" s="166"/>
      <c r="CA94" s="166"/>
      <c r="CB94" s="166"/>
      <c r="CC94" s="166"/>
      <c r="CD94" s="166"/>
      <c r="CE94" s="349"/>
    </row>
    <row r="95" spans="1:83">
      <c r="B95" s="58"/>
      <c r="BY95" s="40"/>
      <c r="CE95" s="40"/>
    </row>
    <row r="96" spans="1:83">
      <c r="B96" s="58"/>
      <c r="BY96" s="40"/>
      <c r="CE96" s="40"/>
    </row>
    <row r="97" spans="2:2">
      <c r="B97" s="58"/>
    </row>
    <row r="98" spans="2:2">
      <c r="B98" s="58"/>
    </row>
    <row r="99" spans="2:2">
      <c r="B99" s="58"/>
    </row>
  </sheetData>
  <conditionalFormatting sqref="H71:H74">
    <cfRule type="expression" dxfId="83" priority="99">
      <formula>IF((H71-$B71)/$B71&gt;=0.05,TRUE,FALSE)</formula>
    </cfRule>
    <cfRule type="expression" dxfId="82" priority="100">
      <formula>IF((H71-$B71)/$B71&lt;=0.05,TRUE,FALSE)</formula>
    </cfRule>
  </conditionalFormatting>
  <conditionalFormatting sqref="H76:H79">
    <cfRule type="expression" dxfId="81" priority="97">
      <formula>IF((H76-$B76)/$B76&gt;=0.05,TRUE,FALSE)</formula>
    </cfRule>
    <cfRule type="expression" dxfId="80" priority="98">
      <formula>IF((H76-$B76)/$B76&lt;=0.05,TRUE,FALSE)</formula>
    </cfRule>
  </conditionalFormatting>
  <conditionalFormatting sqref="H81:H84">
    <cfRule type="expression" dxfId="79" priority="95">
      <formula>IF((H81-$B81)/$B81&gt;=0.05,TRUE,FALSE)</formula>
    </cfRule>
    <cfRule type="expression" dxfId="78" priority="96">
      <formula>IF((H81-$B81)/$B81&lt;=0.05,TRUE,FALSE)</formula>
    </cfRule>
  </conditionalFormatting>
  <conditionalFormatting sqref="M71:M74">
    <cfRule type="expression" dxfId="77" priority="105">
      <formula>IF((M71-$B71)/$B71&gt;=0.05,TRUE,FALSE)</formula>
    </cfRule>
    <cfRule type="expression" dxfId="76" priority="106">
      <formula>IF((M71-$B71)/$B71&lt;=0.05,TRUE,FALSE)</formula>
    </cfRule>
  </conditionalFormatting>
  <conditionalFormatting sqref="M76:M79">
    <cfRule type="expression" dxfId="75" priority="103">
      <formula>IF((M76-$B76)/$B76&gt;=0.05,TRUE,FALSE)</formula>
    </cfRule>
    <cfRule type="expression" dxfId="74" priority="104">
      <formula>IF((M76-$B76)/$B76&lt;=0.05,TRUE,FALSE)</formula>
    </cfRule>
  </conditionalFormatting>
  <conditionalFormatting sqref="M81:M84">
    <cfRule type="expression" dxfId="73" priority="101">
      <formula>IF((M81-$B81)/$B81&gt;=0.05,TRUE,FALSE)</formula>
    </cfRule>
    <cfRule type="expression" dxfId="72" priority="102">
      <formula>IF((M81-$B81)/$B81&lt;=0.05,TRUE,FALSE)</formula>
    </cfRule>
  </conditionalFormatting>
  <conditionalFormatting sqref="S71:S74">
    <cfRule type="expression" dxfId="71" priority="111">
      <formula>IF((S71-$B71)/$B71&gt;=0.05,TRUE,FALSE)</formula>
    </cfRule>
    <cfRule type="expression" dxfId="70" priority="112">
      <formula>IF((S71-$B71)/$B71&lt;=0.05,TRUE,FALSE)</formula>
    </cfRule>
  </conditionalFormatting>
  <conditionalFormatting sqref="S76:S79">
    <cfRule type="expression" dxfId="69" priority="109">
      <formula>IF((S76-$B76)/$B76&gt;=0.05,TRUE,FALSE)</formula>
    </cfRule>
    <cfRule type="expression" dxfId="68" priority="110">
      <formula>IF((S76-$B76)/$B76&lt;=0.05,TRUE,FALSE)</formula>
    </cfRule>
  </conditionalFormatting>
  <conditionalFormatting sqref="S81:S84">
    <cfRule type="expression" dxfId="67" priority="107">
      <formula>IF((S81-$B81)/$B81&gt;=0.05,TRUE,FALSE)</formula>
    </cfRule>
    <cfRule type="expression" dxfId="66" priority="108">
      <formula>IF((S81-$B81)/$B81&lt;=0.05,TRUE,FALSE)</formula>
    </cfRule>
  </conditionalFormatting>
  <conditionalFormatting sqref="X71:X74">
    <cfRule type="expression" dxfId="65" priority="117">
      <formula>IF((X71-$B71)/$B71&gt;=0.05,TRUE,FALSE)</formula>
    </cfRule>
    <cfRule type="expression" dxfId="64" priority="118">
      <formula>IF((X71-$B71)/$B71&lt;=0.05,TRUE,FALSE)</formula>
    </cfRule>
  </conditionalFormatting>
  <conditionalFormatting sqref="X76:X79">
    <cfRule type="expression" dxfId="63" priority="115">
      <formula>IF((X76-$B76)/$B76&gt;=0.05,TRUE,FALSE)</formula>
    </cfRule>
    <cfRule type="expression" dxfId="62" priority="116">
      <formula>IF((X76-$B76)/$B76&lt;=0.05,TRUE,FALSE)</formula>
    </cfRule>
  </conditionalFormatting>
  <conditionalFormatting sqref="X81:X84">
    <cfRule type="expression" dxfId="61" priority="113">
      <formula>IF((X81-$B81)/$B81&gt;=0.05,TRUE,FALSE)</formula>
    </cfRule>
    <cfRule type="expression" dxfId="60" priority="114">
      <formula>IF((X81-$B81)/$B81&lt;=0.05,TRUE,FALSE)</formula>
    </cfRule>
  </conditionalFormatting>
  <conditionalFormatting sqref="AC71:AC74">
    <cfRule type="expression" dxfId="59" priority="123">
      <formula>IF((AC71-$B71)/$B71&gt;=0.05,TRUE,FALSE)</formula>
    </cfRule>
    <cfRule type="expression" dxfId="58" priority="124">
      <formula>IF((AC71-$B71)/$B71&lt;=0.05,TRUE,FALSE)</formula>
    </cfRule>
  </conditionalFormatting>
  <conditionalFormatting sqref="AC76:AC79">
    <cfRule type="expression" dxfId="57" priority="121">
      <formula>IF((AC76-$B76)/$B76&gt;=0.05,TRUE,FALSE)</formula>
    </cfRule>
    <cfRule type="expression" dxfId="56" priority="122">
      <formula>IF((AC76-$B76)/$B76&lt;=0.05,TRUE,FALSE)</formula>
    </cfRule>
  </conditionalFormatting>
  <conditionalFormatting sqref="AC81:AC84">
    <cfRule type="expression" dxfId="55" priority="119">
      <formula>IF((AC81-$B81)/$B81&gt;=0.05,TRUE,FALSE)</formula>
    </cfRule>
    <cfRule type="expression" dxfId="54" priority="120">
      <formula>IF((AC81-$B81)/$B81&lt;=0.05,TRUE,FALSE)</formula>
    </cfRule>
  </conditionalFormatting>
  <conditionalFormatting sqref="AI71:AI74">
    <cfRule type="expression" dxfId="53" priority="129">
      <formula>IF((AI71-$B71)/$B71&gt;=0.05,TRUE,FALSE)</formula>
    </cfRule>
    <cfRule type="expression" dxfId="52" priority="130">
      <formula>IF((AI71-$B71)/$B71&lt;=0.05,TRUE,FALSE)</formula>
    </cfRule>
  </conditionalFormatting>
  <conditionalFormatting sqref="AI76:AI79">
    <cfRule type="expression" dxfId="51" priority="127">
      <formula>IF((AI76-$B76)/$B76&gt;=0.05,TRUE,FALSE)</formula>
    </cfRule>
    <cfRule type="expression" dxfId="50" priority="128">
      <formula>IF((AI76-$B76)/$B76&lt;=0.05,TRUE,FALSE)</formula>
    </cfRule>
  </conditionalFormatting>
  <conditionalFormatting sqref="AI81:AI84">
    <cfRule type="expression" dxfId="49" priority="125">
      <formula>IF((AI81-$B81)/$B81&gt;=0.05,TRUE,FALSE)</formula>
    </cfRule>
    <cfRule type="expression" dxfId="48" priority="126">
      <formula>IF((AI81-$B81)/$B81&lt;=0.05,TRUE,FALSE)</formula>
    </cfRule>
  </conditionalFormatting>
  <conditionalFormatting sqref="AN71:AN74">
    <cfRule type="expression" dxfId="47" priority="87">
      <formula>IF((AN71-$B71)/$B71&gt;=0.05,TRUE,FALSE)</formula>
    </cfRule>
    <cfRule type="expression" dxfId="46" priority="88">
      <formula>IF((AN71-$B71)/$B71&lt;=0.05,TRUE,FALSE)</formula>
    </cfRule>
  </conditionalFormatting>
  <conditionalFormatting sqref="AN76:AN79">
    <cfRule type="expression" dxfId="45" priority="85">
      <formula>IF((AN76-$B76)/$B76&gt;=0.05,TRUE,FALSE)</formula>
    </cfRule>
    <cfRule type="expression" dxfId="44" priority="86">
      <formula>IF((AN76-$B76)/$B76&lt;=0.05,TRUE,FALSE)</formula>
    </cfRule>
  </conditionalFormatting>
  <conditionalFormatting sqref="AN81:AN84">
    <cfRule type="expression" dxfId="43" priority="83">
      <formula>IF((AN81-$B81)/$B81&gt;=0.05,TRUE,FALSE)</formula>
    </cfRule>
    <cfRule type="expression" dxfId="42" priority="84">
      <formula>IF((AN81-$B81)/$B81&lt;=0.05,TRUE,FALSE)</formula>
    </cfRule>
  </conditionalFormatting>
  <conditionalFormatting sqref="AS71:AS74">
    <cfRule type="expression" dxfId="41" priority="77">
      <formula>IF((AS71-$B71)/$B71&gt;=0.05,TRUE,FALSE)</formula>
    </cfRule>
    <cfRule type="expression" dxfId="40" priority="78">
      <formula>IF((AS71-$B71)/$B71&lt;=0.05,TRUE,FALSE)</formula>
    </cfRule>
  </conditionalFormatting>
  <conditionalFormatting sqref="AS76:AS79">
    <cfRule type="expression" dxfId="39" priority="75">
      <formula>IF((AS76-$B76)/$B76&gt;=0.05,TRUE,FALSE)</formula>
    </cfRule>
    <cfRule type="expression" dxfId="38" priority="76">
      <formula>IF((AS76-$B76)/$B76&lt;=0.05,TRUE,FALSE)</formula>
    </cfRule>
  </conditionalFormatting>
  <conditionalFormatting sqref="AS81:AS84">
    <cfRule type="expression" dxfId="37" priority="73">
      <formula>IF((AS81-$B81)/$B81&gt;=0.05,TRUE,FALSE)</formula>
    </cfRule>
    <cfRule type="expression" dxfId="36" priority="74">
      <formula>IF((AS81-$B81)/$B81&lt;=0.05,TRUE,FALSE)</formula>
    </cfRule>
  </conditionalFormatting>
  <conditionalFormatting sqref="AY71:AY74">
    <cfRule type="expression" dxfId="35" priority="65">
      <formula>IF((AY71-$B71)/$B71&gt;=0.05,TRUE,FALSE)</formula>
    </cfRule>
    <cfRule type="expression" dxfId="34" priority="66">
      <formula>IF((AY71-$B71)/$B71&lt;=0.05,TRUE,FALSE)</formula>
    </cfRule>
  </conditionalFormatting>
  <conditionalFormatting sqref="AY76:AY79">
    <cfRule type="expression" dxfId="33" priority="63">
      <formula>IF((AY76-$B76)/$B76&gt;=0.05,TRUE,FALSE)</formula>
    </cfRule>
    <cfRule type="expression" dxfId="32" priority="64">
      <formula>IF((AY76-$B76)/$B76&lt;=0.05,TRUE,FALSE)</formula>
    </cfRule>
  </conditionalFormatting>
  <conditionalFormatting sqref="AY81:AY84">
    <cfRule type="expression" dxfId="31" priority="61">
      <formula>IF((AY81-$B81)/$B81&gt;=0.05,TRUE,FALSE)</formula>
    </cfRule>
    <cfRule type="expression" dxfId="30" priority="62">
      <formula>IF((AY81-$B81)/$B81&lt;=0.05,TRUE,FALSE)</formula>
    </cfRule>
  </conditionalFormatting>
  <conditionalFormatting sqref="BD71:BD74">
    <cfRule type="expression" dxfId="29" priority="59">
      <formula>IF((BD71-$B71)/$B71&gt;=0.05,TRUE,FALSE)</formula>
    </cfRule>
    <cfRule type="expression" dxfId="28" priority="60">
      <formula>IF((BD71-$B71)/$B71&lt;=0.05,TRUE,FALSE)</formula>
    </cfRule>
  </conditionalFormatting>
  <conditionalFormatting sqref="BD76:BD79">
    <cfRule type="expression" dxfId="27" priority="57">
      <formula>IF((BD76-$B76)/$B76&gt;=0.05,TRUE,FALSE)</formula>
    </cfRule>
    <cfRule type="expression" dxfId="26" priority="58">
      <formula>IF((BD76-$B76)/$B76&lt;=0.05,TRUE,FALSE)</formula>
    </cfRule>
  </conditionalFormatting>
  <conditionalFormatting sqref="BD81:BD84">
    <cfRule type="expression" dxfId="25" priority="55">
      <formula>IF((BD81-$B81)/$B81&gt;=0.05,TRUE,FALSE)</formula>
    </cfRule>
    <cfRule type="expression" dxfId="24" priority="56">
      <formula>IF((BD81-$B81)/$B81&lt;=0.05,TRUE,FALSE)</formula>
    </cfRule>
  </conditionalFormatting>
  <conditionalFormatting sqref="BJ71:BJ74">
    <cfRule type="expression" dxfId="23" priority="47">
      <formula>IF((BJ71-$B71)/$B71&gt;=0.05,TRUE,FALSE)</formula>
    </cfRule>
    <cfRule type="expression" dxfId="22" priority="48">
      <formula>IF((BJ71-$B71)/$B71&lt;=0.05,TRUE,FALSE)</formula>
    </cfRule>
  </conditionalFormatting>
  <conditionalFormatting sqref="BJ76:BJ79">
    <cfRule type="expression" dxfId="21" priority="45">
      <formula>IF((BJ76-$B76)/$B76&gt;=0.05,TRUE,FALSE)</formula>
    </cfRule>
    <cfRule type="expression" dxfId="20" priority="46">
      <formula>IF((BJ76-$B76)/$B76&lt;=0.05,TRUE,FALSE)</formula>
    </cfRule>
  </conditionalFormatting>
  <conditionalFormatting sqref="BJ81:BJ84">
    <cfRule type="expression" dxfId="19" priority="43">
      <formula>IF((BJ81-$B81)/$B81&gt;=0.05,TRUE,FALSE)</formula>
    </cfRule>
    <cfRule type="expression" dxfId="18" priority="44">
      <formula>IF((BJ81-$B81)/$B81&lt;=0.05,TRUE,FALSE)</formula>
    </cfRule>
  </conditionalFormatting>
  <conditionalFormatting sqref="BO71:BT74">
    <cfRule type="expression" dxfId="17" priority="41">
      <formula>IF((BO71-$B71)/$B71&gt;=0.05,TRUE,FALSE)</formula>
    </cfRule>
    <cfRule type="expression" dxfId="16" priority="42">
      <formula>IF((BO71-$B71)/$B71&lt;=0.05,TRUE,FALSE)</formula>
    </cfRule>
  </conditionalFormatting>
  <conditionalFormatting sqref="BO76:BT79">
    <cfRule type="expression" dxfId="15" priority="39">
      <formula>IF((BO76-$B76)/$B76&gt;=0.05,TRUE,FALSE)</formula>
    </cfRule>
    <cfRule type="expression" dxfId="14" priority="40">
      <formula>IF((BO76-$B76)/$B76&lt;=0.05,TRUE,FALSE)</formula>
    </cfRule>
  </conditionalFormatting>
  <conditionalFormatting sqref="BO81:BT84">
    <cfRule type="expression" dxfId="13" priority="23">
      <formula>IF((BO81-$B81)/$B81&gt;=0.05,TRUE,FALSE)</formula>
    </cfRule>
    <cfRule type="expression" dxfId="12" priority="24">
      <formula>IF((BO81-$B81)/$B81&lt;=0.05,TRUE,FALSE)</formula>
    </cfRule>
  </conditionalFormatting>
  <conditionalFormatting sqref="BY81:BY84">
    <cfRule type="expression" dxfId="11" priority="17">
      <formula>IF((BY81-$B81)/$B81&gt;=0.05,TRUE,FALSE)</formula>
    </cfRule>
    <cfRule type="expression" dxfId="10" priority="18">
      <formula>IF((BY81-$B81)/$B81&lt;=0.05,TRUE,FALSE)</formula>
    </cfRule>
  </conditionalFormatting>
  <conditionalFormatting sqref="BY71:BY74">
    <cfRule type="expression" dxfId="9" priority="9">
      <formula>IF((BY71-$B71)/$B71&gt;=0.05,TRUE,FALSE)</formula>
    </cfRule>
    <cfRule type="expression" dxfId="8" priority="10">
      <formula>IF((BY71-$B71)/$B71&lt;=0.05,TRUE,FALSE)</formula>
    </cfRule>
  </conditionalFormatting>
  <conditionalFormatting sqref="BY76:BY79">
    <cfRule type="expression" dxfId="7" priority="7">
      <formula>IF((BY76-$B76)/$B76&gt;=0.05,TRUE,FALSE)</formula>
    </cfRule>
    <cfRule type="expression" dxfId="6" priority="8">
      <formula>IF((BY76-$B76)/$B76&lt;=0.05,TRUE,FALSE)</formula>
    </cfRule>
  </conditionalFormatting>
  <conditionalFormatting sqref="CE81:CE84">
    <cfRule type="expression" dxfId="5" priority="5">
      <formula>IF((CE81-$B81)/$B81&gt;=0.05,TRUE,FALSE)</formula>
    </cfRule>
    <cfRule type="expression" dxfId="4" priority="6">
      <formula>IF((CE81-$B81)/$B81&lt;=0.05,TRUE,FALSE)</formula>
    </cfRule>
  </conditionalFormatting>
  <conditionalFormatting sqref="CE71:CE74">
    <cfRule type="expression" dxfId="3" priority="3">
      <formula>IF((CE71-$B71)/$B71&gt;=0.05,TRUE,FALSE)</formula>
    </cfRule>
    <cfRule type="expression" dxfId="2" priority="4">
      <formula>IF((CE71-$B71)/$B71&lt;=0.05,TRUE,FALSE)</formula>
    </cfRule>
  </conditionalFormatting>
  <conditionalFormatting sqref="CE76:CE79">
    <cfRule type="expression" dxfId="1" priority="1">
      <formula>IF((CE76-$B76)/$B76&gt;=0.05,TRUE,FALSE)</formula>
    </cfRule>
    <cfRule type="expression" dxfId="0" priority="2">
      <formula>IF((CE76-$B76)/$B76&lt;=0.05,TRUE,FALSE)</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F7DD1-A78A-4188-BF5E-840A934AFBBA}">
  <dimension ref="A1:CF33"/>
  <sheetViews>
    <sheetView workbookViewId="0">
      <pane xSplit="8" ySplit="3" topLeftCell="AT4" activePane="bottomRight" state="frozen"/>
      <selection pane="bottomRight" activeCell="CF17" sqref="CF17"/>
      <selection pane="bottomLeft"/>
      <selection pane="topRight"/>
    </sheetView>
  </sheetViews>
  <sheetFormatPr defaultColWidth="9.140625" defaultRowHeight="15" outlineLevelCol="1"/>
  <cols>
    <col min="1" max="1" width="35" bestFit="1" customWidth="1"/>
    <col min="2" max="2" width="30.28515625" customWidth="1"/>
    <col min="3" max="3" width="25.7109375" style="56" customWidth="1"/>
    <col min="4" max="4" width="24.42578125" customWidth="1"/>
    <col min="5" max="8" width="9.140625" hidden="1" customWidth="1"/>
    <col min="9" max="9" width="10.42578125" bestFit="1" customWidth="1"/>
    <col min="10" max="13" width="0" hidden="1" customWidth="1"/>
    <col min="14" max="14" width="10.42578125" bestFit="1" customWidth="1"/>
    <col min="15" max="19" width="0" hidden="1" customWidth="1" outlineLevel="1"/>
    <col min="20" max="20" width="9.85546875" customWidth="1" collapsed="1"/>
    <col min="21" max="24" width="0" hidden="1" customWidth="1" outlineLevel="1"/>
    <col min="25" max="25" width="10" customWidth="1" collapsed="1"/>
    <col min="26" max="29" width="0" hidden="1" customWidth="1"/>
    <col min="30" max="30" width="10.7109375" bestFit="1" customWidth="1"/>
    <col min="31" max="35" width="0" hidden="1" customWidth="1"/>
    <col min="36" max="36" width="10.7109375" bestFit="1" customWidth="1"/>
    <col min="37" max="40" width="0" hidden="1" customWidth="1"/>
    <col min="41" max="41" width="10.7109375" bestFit="1" customWidth="1"/>
    <col min="42" max="42" width="9.85546875" hidden="1" customWidth="1"/>
    <col min="43" max="45" width="9.140625" hidden="1" customWidth="1"/>
    <col min="46" max="46" width="10.42578125" bestFit="1" customWidth="1"/>
    <col min="47" max="47" width="9.28515625" hidden="1" customWidth="1"/>
    <col min="48" max="48" width="9.5703125" hidden="1" customWidth="1"/>
    <col min="49" max="49" width="10.85546875" hidden="1" customWidth="1"/>
    <col min="50" max="50" width="11.85546875" hidden="1" customWidth="1"/>
    <col min="51" max="51" width="12.42578125" hidden="1" customWidth="1"/>
    <col min="52" max="52" width="10.85546875" customWidth="1"/>
    <col min="53" max="53" width="11.140625" hidden="1" customWidth="1"/>
    <col min="54" max="54" width="10.28515625" hidden="1" customWidth="1"/>
    <col min="55" max="56" width="11" hidden="1" customWidth="1"/>
    <col min="58" max="58" width="11" hidden="1" customWidth="1"/>
    <col min="59" max="59" width="10.5703125" hidden="1" customWidth="1"/>
    <col min="60" max="60" width="11.140625" hidden="1" customWidth="1"/>
    <col min="61" max="62" width="11.42578125" hidden="1" customWidth="1"/>
    <col min="64" max="67" width="0" hidden="1" customWidth="1"/>
    <col min="69" max="72" width="9.140625" hidden="1" customWidth="1"/>
    <col min="74" max="74" width="10.5703125" hidden="1" customWidth="1" outlineLevel="1"/>
    <col min="75" max="76" width="10.140625" hidden="1" customWidth="1" outlineLevel="1"/>
    <col min="77" max="77" width="9.140625" hidden="1" customWidth="1" outlineLevel="1"/>
    <col min="78" max="78" width="9.140625" collapsed="1"/>
    <col min="79" max="83" width="9.140625" customWidth="1" outlineLevel="1"/>
  </cols>
  <sheetData>
    <row r="1" spans="1:84" ht="30.75">
      <c r="A1" s="32" t="s">
        <v>280</v>
      </c>
      <c r="B1" s="32"/>
      <c r="C1" s="351"/>
    </row>
    <row r="2" spans="1:84">
      <c r="E2" s="368" t="s">
        <v>281</v>
      </c>
      <c r="F2" s="368"/>
      <c r="G2" s="368"/>
      <c r="H2" s="368"/>
      <c r="I2" s="40"/>
    </row>
    <row r="3" spans="1:84">
      <c r="A3" s="7" t="s">
        <v>0</v>
      </c>
      <c r="B3" s="7"/>
      <c r="C3" s="53" t="s">
        <v>2</v>
      </c>
      <c r="D3" s="7" t="s">
        <v>3</v>
      </c>
      <c r="E3" s="8">
        <v>45690</v>
      </c>
      <c r="F3" s="8">
        <f t="shared" ref="F3:M3" si="0">E3+7</f>
        <v>45697</v>
      </c>
      <c r="G3" s="8">
        <f t="shared" si="0"/>
        <v>45704</v>
      </c>
      <c r="H3" s="99">
        <f t="shared" si="0"/>
        <v>45711</v>
      </c>
      <c r="I3" s="159">
        <v>45689</v>
      </c>
      <c r="J3" s="8">
        <f>H3+7</f>
        <v>45718</v>
      </c>
      <c r="K3" s="8">
        <f t="shared" si="0"/>
        <v>45725</v>
      </c>
      <c r="L3" s="8">
        <f t="shared" si="0"/>
        <v>45732</v>
      </c>
      <c r="M3" s="99">
        <f t="shared" si="0"/>
        <v>45739</v>
      </c>
      <c r="N3" s="159">
        <v>45717</v>
      </c>
      <c r="O3" s="8" t="s">
        <v>8</v>
      </c>
      <c r="P3" s="8" t="s">
        <v>9</v>
      </c>
      <c r="Q3" s="164" t="s">
        <v>10</v>
      </c>
      <c r="R3" s="8" t="s">
        <v>11</v>
      </c>
      <c r="S3" s="99" t="s">
        <v>12</v>
      </c>
      <c r="T3" s="159">
        <v>45748</v>
      </c>
      <c r="U3" s="8" t="s">
        <v>13</v>
      </c>
      <c r="V3" s="8" t="s">
        <v>14</v>
      </c>
      <c r="W3" s="8" t="s">
        <v>15</v>
      </c>
      <c r="X3" s="99" t="s">
        <v>16</v>
      </c>
      <c r="Y3" s="159">
        <v>45778</v>
      </c>
      <c r="Z3" s="234" t="s">
        <v>17</v>
      </c>
      <c r="AA3" s="234" t="s">
        <v>18</v>
      </c>
      <c r="AB3" s="234" t="s">
        <v>19</v>
      </c>
      <c r="AC3" s="235" t="s">
        <v>20</v>
      </c>
      <c r="AD3" s="167">
        <v>45809</v>
      </c>
      <c r="AE3" s="234" t="s">
        <v>21</v>
      </c>
      <c r="AF3" s="234" t="s">
        <v>22</v>
      </c>
      <c r="AG3" s="234" t="s">
        <v>23</v>
      </c>
      <c r="AH3" s="235" t="s">
        <v>24</v>
      </c>
      <c r="AI3" s="235" t="s">
        <v>25</v>
      </c>
      <c r="AJ3" s="167">
        <v>45839</v>
      </c>
      <c r="AK3" s="99" t="s">
        <v>26</v>
      </c>
      <c r="AL3" s="99" t="s">
        <v>27</v>
      </c>
      <c r="AM3" s="99" t="s">
        <v>28</v>
      </c>
      <c r="AN3" s="99" t="s">
        <v>29</v>
      </c>
      <c r="AO3" s="167">
        <v>45870</v>
      </c>
      <c r="AP3" s="99" t="s">
        <v>30</v>
      </c>
      <c r="AQ3" s="99" t="s">
        <v>31</v>
      </c>
      <c r="AR3" s="99" t="s">
        <v>32</v>
      </c>
      <c r="AS3" s="99" t="s">
        <v>33</v>
      </c>
      <c r="AT3" s="252">
        <v>45901</v>
      </c>
      <c r="AU3" s="99" t="s">
        <v>34</v>
      </c>
      <c r="AV3" s="99" t="s">
        <v>35</v>
      </c>
      <c r="AW3" s="99" t="s">
        <v>36</v>
      </c>
      <c r="AX3" s="99" t="s">
        <v>37</v>
      </c>
      <c r="AY3" s="99" t="s">
        <v>38</v>
      </c>
      <c r="AZ3" s="252">
        <v>45931</v>
      </c>
      <c r="BA3" s="99" t="str">
        <f>'Company Scorecard'!BG1</f>
        <v>11/2-11/8</v>
      </c>
      <c r="BB3" s="99" t="str">
        <f>'Company Scorecard'!BH1</f>
        <v>11/9-11/15</v>
      </c>
      <c r="BC3" s="99" t="str">
        <f>'Company Scorecard'!BI1</f>
        <v>11/16-11/22</v>
      </c>
      <c r="BD3" s="99" t="str">
        <f>'Company Scorecard'!BJ1</f>
        <v>11/23-11/29</v>
      </c>
      <c r="BE3" s="252">
        <v>45962</v>
      </c>
      <c r="BF3" s="99" t="str">
        <f>'Company Scorecard'!BL1</f>
        <v>11/30-12/6</v>
      </c>
      <c r="BG3" s="99" t="str">
        <f>'Company Scorecard'!BM1</f>
        <v>12/7-12/13</v>
      </c>
      <c r="BH3" s="99" t="str">
        <f>'Company Scorecard'!BN1</f>
        <v>12/14-12/20</v>
      </c>
      <c r="BI3" s="99" t="str">
        <f>'Company Scorecard'!BO1</f>
        <v>12/21-12/27</v>
      </c>
      <c r="BJ3" s="99" t="str">
        <f>'Company Scorecard'!BP1</f>
        <v>12/28-1/3</v>
      </c>
      <c r="BK3" s="252">
        <f>'Company Scorecard'!BQ1</f>
        <v>45992</v>
      </c>
      <c r="BL3" s="99" t="str">
        <f>'Company Scorecard'!BR1</f>
        <v>1/4-1/10</v>
      </c>
      <c r="BM3" s="99" t="str">
        <f>'Company Scorecard'!BS1</f>
        <v>1/11-1/17</v>
      </c>
      <c r="BN3" s="99" t="str">
        <f>'Company Scorecard'!BT1</f>
        <v>1/18-1/24</v>
      </c>
      <c r="BO3" s="99" t="str">
        <f>'Company Scorecard'!BU1</f>
        <v>1/25-1/31</v>
      </c>
      <c r="BP3" s="252">
        <f>'Company Scorecard'!BV1</f>
        <v>46023</v>
      </c>
      <c r="BQ3" s="99" t="str">
        <f>'Company Scorecard'!BW1</f>
        <v>2/1-2/7</v>
      </c>
      <c r="BR3" s="99" t="str">
        <f>'Company Scorecard'!BX1</f>
        <v>2/8-2/14</v>
      </c>
      <c r="BS3" s="99" t="str">
        <f>'Company Scorecard'!BY1</f>
        <v>2/15-2/21</v>
      </c>
      <c r="BT3" s="99" t="str">
        <f>'Company Scorecard'!BZ1</f>
        <v>2/22-2/28</v>
      </c>
      <c r="BU3" s="252">
        <f>'Company Scorecard'!CA1</f>
        <v>46054</v>
      </c>
      <c r="BV3" s="99" t="str">
        <f>'Company Scorecard'!CB1</f>
        <v>3/1-3/7</v>
      </c>
      <c r="BW3" s="99" t="str">
        <f>'Company Scorecard'!CC1</f>
        <v>3/8-3/14</v>
      </c>
      <c r="BX3" s="99" t="str">
        <f>'Company Scorecard'!CD1</f>
        <v>3/15-3/21</v>
      </c>
      <c r="BY3" s="99" t="str">
        <f>'Company Scorecard'!CE1</f>
        <v>3/22-3/28</v>
      </c>
      <c r="BZ3" s="252">
        <f>'Company Scorecard'!CF1</f>
        <v>46082</v>
      </c>
      <c r="CA3" s="99" t="str">
        <f>'Company Scorecard'!CG1</f>
        <v>3/29-4/4</v>
      </c>
      <c r="CB3" s="99" t="str">
        <f>'Company Scorecard'!CH1</f>
        <v>4/5-4/11</v>
      </c>
      <c r="CC3" s="99" t="str">
        <f>'Company Scorecard'!CI1</f>
        <v>4/12-4/18</v>
      </c>
      <c r="CD3" s="99" t="str">
        <f>'Company Scorecard'!CJ1</f>
        <v>4/19-4/25</v>
      </c>
      <c r="CE3" s="99" t="str">
        <f>'Company Scorecard'!CK1</f>
        <v>4/26-5/2</v>
      </c>
      <c r="CF3" s="252">
        <f>'Company Scorecard'!CL1</f>
        <v>46113</v>
      </c>
    </row>
    <row r="4" spans="1:84" s="11" customFormat="1">
      <c r="A4" s="10" t="s">
        <v>240</v>
      </c>
      <c r="B4" s="10"/>
      <c r="C4" s="54" t="s">
        <v>2</v>
      </c>
      <c r="I4" s="153"/>
      <c r="N4" s="153"/>
      <c r="T4" s="153"/>
      <c r="Y4" s="229"/>
      <c r="Z4" s="225"/>
      <c r="AA4" s="226"/>
      <c r="AB4" s="226"/>
      <c r="AC4" s="226"/>
      <c r="AD4" s="150"/>
      <c r="AE4" s="225"/>
      <c r="AF4" s="226"/>
      <c r="AG4" s="226"/>
      <c r="AH4" s="226"/>
      <c r="AI4" s="226"/>
      <c r="AJ4" s="150"/>
      <c r="AO4" s="150"/>
      <c r="AT4" s="153"/>
      <c r="AZ4" s="153"/>
      <c r="BE4" s="153"/>
      <c r="BK4" s="153"/>
      <c r="BP4" s="153"/>
      <c r="BQ4" s="153"/>
      <c r="BR4" s="153"/>
      <c r="BS4" s="153"/>
      <c r="BT4" s="153"/>
      <c r="BU4" s="153"/>
      <c r="BV4" s="153"/>
      <c r="BW4" s="153"/>
      <c r="BX4" s="153"/>
      <c r="BY4" s="153"/>
      <c r="BZ4" s="153"/>
      <c r="CA4" s="153"/>
      <c r="CB4" s="153"/>
      <c r="CC4" s="153"/>
      <c r="CD4" s="153"/>
      <c r="CE4" s="153"/>
      <c r="CF4" s="153"/>
    </row>
    <row r="5" spans="1:84">
      <c r="D5" t="s">
        <v>67</v>
      </c>
      <c r="E5">
        <f>'Company Scorecard'!K$7</f>
        <v>153</v>
      </c>
      <c r="F5">
        <f>'Company Scorecard'!L$7</f>
        <v>152</v>
      </c>
      <c r="G5">
        <f>'Company Scorecard'!M$7</f>
        <v>149</v>
      </c>
      <c r="H5">
        <f>'Company Scorecard'!N$7</f>
        <v>150</v>
      </c>
      <c r="I5" s="154">
        <f>'Company Scorecard'!O$7</f>
        <v>148</v>
      </c>
      <c r="J5">
        <f>'Company Scorecard'!P$7</f>
        <v>150</v>
      </c>
      <c r="K5">
        <f>'Company Scorecard'!Q$7</f>
        <v>153</v>
      </c>
      <c r="L5">
        <f>'Company Scorecard'!R$7</f>
        <v>156</v>
      </c>
      <c r="M5">
        <f>'Company Scorecard'!S$7</f>
        <v>162</v>
      </c>
      <c r="N5" s="154">
        <f>'Company Scorecard'!T7</f>
        <v>154</v>
      </c>
      <c r="O5">
        <f>'Company Scorecard'!U$7</f>
        <v>156</v>
      </c>
      <c r="P5">
        <f>'Company Scorecard'!V$7</f>
        <v>145</v>
      </c>
      <c r="Q5">
        <f>'Company Scorecard'!W$7</f>
        <v>137</v>
      </c>
      <c r="R5">
        <f>'Company Scorecard'!X$7</f>
        <v>130</v>
      </c>
      <c r="S5">
        <f>'Company Scorecard'!Y$7</f>
        <v>122</v>
      </c>
      <c r="T5" s="154">
        <f>'Company Scorecard'!Z$7</f>
        <v>135</v>
      </c>
      <c r="U5">
        <f>'Company Scorecard'!AA$7</f>
        <v>110</v>
      </c>
      <c r="V5">
        <f>'Company Scorecard'!AB$7</f>
        <v>102</v>
      </c>
      <c r="W5">
        <f>'Company Scorecard'!AC$7</f>
        <v>95</v>
      </c>
      <c r="X5">
        <f>'Company Scorecard'!AD$7</f>
        <v>88</v>
      </c>
      <c r="Y5" s="227">
        <f>'Company Scorecard'!AE$7</f>
        <v>98</v>
      </c>
      <c r="Z5" s="227">
        <f>'Company Scorecard'!AF$7</f>
        <v>83</v>
      </c>
      <c r="AA5">
        <f>'Company Scorecard'!AG$7</f>
        <v>77</v>
      </c>
      <c r="AB5">
        <f>'Company Scorecard'!AH$7</f>
        <v>71</v>
      </c>
      <c r="AC5">
        <f>'Company Scorecard'!AI$7</f>
        <v>69</v>
      </c>
      <c r="AD5" s="154">
        <f>'Company Scorecard'!AJ$7</f>
        <v>72</v>
      </c>
      <c r="AE5">
        <f>'Company Scorecard'!AK$7</f>
        <v>65</v>
      </c>
      <c r="AF5">
        <f>'Company Scorecard'!AL$7</f>
        <v>64</v>
      </c>
      <c r="AG5">
        <f>'Company Scorecard'!AM$7</f>
        <v>63</v>
      </c>
      <c r="AH5">
        <f>'Company Scorecard'!AN$7</f>
        <v>61</v>
      </c>
      <c r="AI5">
        <f>'Company Scorecard'!AO$7</f>
        <v>58</v>
      </c>
      <c r="AJ5" s="154">
        <f>'Company Scorecard'!AP$7</f>
        <v>59</v>
      </c>
      <c r="AK5">
        <f>'Company Scorecard'!AQ$7</f>
        <v>55</v>
      </c>
      <c r="AL5">
        <f>'Company Scorecard'!AR$7</f>
        <v>53</v>
      </c>
      <c r="AM5">
        <f>'Company Scorecard'!AS$7</f>
        <v>53</v>
      </c>
      <c r="AN5">
        <f>'Company Scorecard'!AT$7</f>
        <v>52</v>
      </c>
      <c r="AO5" s="154">
        <f>'Company Scorecard'!AU$7</f>
        <v>52</v>
      </c>
      <c r="AP5">
        <f>'Company Scorecard'!AV$7</f>
        <v>53</v>
      </c>
      <c r="AQ5">
        <f>'Company Scorecard'!AW$7</f>
        <v>51</v>
      </c>
      <c r="AR5">
        <f>'Company Scorecard'!AX$7</f>
        <v>48</v>
      </c>
      <c r="AS5">
        <f>'Company Scorecard'!AY$7</f>
        <v>48</v>
      </c>
      <c r="AT5" s="154">
        <f>'Company Scorecard'!AZ$7</f>
        <v>49</v>
      </c>
      <c r="AU5">
        <f>'Company Scorecard'!BA$7</f>
        <v>57</v>
      </c>
      <c r="AV5">
        <f>'Company Scorecard'!BB$7</f>
        <v>72</v>
      </c>
      <c r="AW5">
        <f>'Company Scorecard'!BC$7</f>
        <v>83</v>
      </c>
      <c r="AX5">
        <f>'Company Scorecard'!BD$7</f>
        <v>92</v>
      </c>
      <c r="AY5">
        <f>'Company Scorecard'!BE$7</f>
        <v>107</v>
      </c>
      <c r="AZ5" s="154">
        <f>'Company Scorecard'!BF$7</f>
        <v>83</v>
      </c>
      <c r="BA5">
        <f>'Company Scorecard'!BG$7</f>
        <v>118</v>
      </c>
      <c r="BB5">
        <f>'Company Scorecard'!BH$7</f>
        <v>136</v>
      </c>
      <c r="BC5">
        <f>'Company Scorecard'!BI$7</f>
        <v>148</v>
      </c>
      <c r="BD5">
        <f>'Company Scorecard'!BJ$7</f>
        <v>155</v>
      </c>
      <c r="BE5" s="154">
        <f>'Company Scorecard'!BK$7</f>
        <v>139</v>
      </c>
      <c r="BF5">
        <f>'Company Scorecard'!BL$7</f>
        <v>159</v>
      </c>
      <c r="BG5">
        <f>'Company Scorecard'!BM$7</f>
        <v>156</v>
      </c>
      <c r="BH5">
        <f>'Company Scorecard'!BN$7</f>
        <v>155</v>
      </c>
      <c r="BI5">
        <f>'Company Scorecard'!BO$7</f>
        <v>151</v>
      </c>
      <c r="BJ5">
        <f>'Company Scorecard'!BP$7</f>
        <v>146</v>
      </c>
      <c r="BK5" s="154">
        <f>'Company Scorecard'!BQ$7</f>
        <v>152</v>
      </c>
      <c r="BL5">
        <f>'Company Scorecard'!BR$7</f>
        <v>143</v>
      </c>
      <c r="BM5">
        <f>'Company Scorecard'!BS$7</f>
        <v>145</v>
      </c>
      <c r="BN5">
        <f>'Company Scorecard'!BT$7</f>
        <v>148</v>
      </c>
      <c r="BO5">
        <f>'Company Scorecard'!BU$7</f>
        <v>152</v>
      </c>
      <c r="BP5" s="154">
        <f>'Company Scorecard'!BV$7</f>
        <v>145</v>
      </c>
      <c r="BQ5" s="154">
        <f>'Company Scorecard'!BW$7</f>
        <v>158</v>
      </c>
      <c r="BR5" s="154">
        <f>'Company Scorecard'!BX$7</f>
        <v>148</v>
      </c>
      <c r="BS5" s="154">
        <f>'Company Scorecard'!BY$7</f>
        <v>135</v>
      </c>
      <c r="BT5" s="154">
        <f>'Company Scorecard'!BZ$7</f>
        <v>128</v>
      </c>
      <c r="BU5" s="154">
        <f>'Company Scorecard'!CA$7</f>
        <v>140</v>
      </c>
      <c r="BV5" s="154">
        <f>'Company Scorecard'!CB$7</f>
        <v>117</v>
      </c>
      <c r="BW5" s="154">
        <f>'Company Scorecard'!CC$7</f>
        <v>103</v>
      </c>
      <c r="BX5" s="154">
        <f>'Company Scorecard'!CD$7</f>
        <v>89</v>
      </c>
      <c r="BY5" s="154">
        <f>'Company Scorecard'!CE$7</f>
        <v>77</v>
      </c>
      <c r="BZ5" s="154">
        <f>'Company Scorecard'!CF$7</f>
        <v>93</v>
      </c>
      <c r="CA5" s="154">
        <f>'Company Scorecard'!CG$7</f>
        <v>66</v>
      </c>
      <c r="CB5" s="154">
        <f>'Company Scorecard'!CH$7</f>
        <v>60</v>
      </c>
      <c r="CC5" s="154">
        <f>'Company Scorecard'!CI$7</f>
        <v>56</v>
      </c>
      <c r="CD5" s="154">
        <f>'Company Scorecard'!CJ$7</f>
        <v>52</v>
      </c>
      <c r="CE5" s="154">
        <f>'Company Scorecard'!CK$7</f>
        <v>49</v>
      </c>
      <c r="CF5" s="154">
        <f>'Company Scorecard'!CL$7</f>
        <v>55</v>
      </c>
    </row>
    <row r="6" spans="1:84">
      <c r="D6" t="s">
        <v>68</v>
      </c>
      <c r="E6">
        <f>'Company Scorecard'!K$8</f>
        <v>113</v>
      </c>
      <c r="F6">
        <f>'Company Scorecard'!L$8</f>
        <v>112</v>
      </c>
      <c r="G6">
        <f>'Company Scorecard'!M$8</f>
        <v>113</v>
      </c>
      <c r="H6">
        <f>'Company Scorecard'!N$8</f>
        <v>115</v>
      </c>
      <c r="I6" s="154">
        <f>'Company Scorecard'!O$8</f>
        <v>113</v>
      </c>
      <c r="J6">
        <f>'Company Scorecard'!P$8</f>
        <v>112</v>
      </c>
      <c r="K6">
        <f>'Company Scorecard'!Q$8</f>
        <v>115</v>
      </c>
      <c r="L6">
        <f>'Company Scorecard'!R$8</f>
        <v>118</v>
      </c>
      <c r="M6">
        <f>'Company Scorecard'!S$8</f>
        <v>115</v>
      </c>
      <c r="N6" s="154">
        <f>'Company Scorecard'!T8</f>
        <v>114</v>
      </c>
      <c r="O6">
        <f>'Company Scorecard'!U$8</f>
        <v>122</v>
      </c>
      <c r="P6">
        <f>'Company Scorecard'!V$8</f>
        <v>133</v>
      </c>
      <c r="Q6">
        <f>'Company Scorecard'!W$8</f>
        <v>146</v>
      </c>
      <c r="R6">
        <f>'Company Scorecard'!X$8</f>
        <v>157</v>
      </c>
      <c r="S6">
        <f>'Company Scorecard'!Y$8</f>
        <v>176</v>
      </c>
      <c r="T6" s="154">
        <f>'Company Scorecard'!Z$8</f>
        <v>144</v>
      </c>
      <c r="U6">
        <f>'Company Scorecard'!AA$8</f>
        <v>182</v>
      </c>
      <c r="V6">
        <f>'Company Scorecard'!AB$8</f>
        <v>190</v>
      </c>
      <c r="W6">
        <f>'Company Scorecard'!AC$8</f>
        <v>194</v>
      </c>
      <c r="X6">
        <f>'Company Scorecard'!AD$8</f>
        <v>198</v>
      </c>
      <c r="Y6" s="227">
        <f>'Company Scorecard'!AE$8</f>
        <v>187</v>
      </c>
      <c r="Z6" s="227">
        <f>'Company Scorecard'!AF$8</f>
        <v>194</v>
      </c>
      <c r="AA6">
        <f>'Company Scorecard'!AG$8</f>
        <v>190</v>
      </c>
      <c r="AB6">
        <f>'Company Scorecard'!AH$8</f>
        <v>192</v>
      </c>
      <c r="AC6">
        <f>'Company Scorecard'!AI$8</f>
        <v>200</v>
      </c>
      <c r="AD6" s="154">
        <f>'Company Scorecard'!AJ$8</f>
        <v>190</v>
      </c>
      <c r="AE6">
        <f>'Company Scorecard'!AK$8</f>
        <v>214</v>
      </c>
      <c r="AF6">
        <f>'Company Scorecard'!AL$8</f>
        <v>215</v>
      </c>
      <c r="AG6">
        <f>'Company Scorecard'!AM$8</f>
        <v>222</v>
      </c>
      <c r="AH6">
        <f>'Company Scorecard'!AN$8</f>
        <v>226</v>
      </c>
      <c r="AI6">
        <f>'Company Scorecard'!AO$8</f>
        <v>230</v>
      </c>
      <c r="AJ6" s="154">
        <f>'Company Scorecard'!AP$8</f>
        <v>212</v>
      </c>
      <c r="AK6">
        <f>'Company Scorecard'!AQ$8</f>
        <v>236</v>
      </c>
      <c r="AL6">
        <f>'Company Scorecard'!AR$8</f>
        <v>235</v>
      </c>
      <c r="AM6">
        <f>'Company Scorecard'!AS$8</f>
        <v>229</v>
      </c>
      <c r="AN6">
        <f>'Company Scorecard'!AT$8</f>
        <v>222</v>
      </c>
      <c r="AO6" s="154">
        <f>'Company Scorecard'!AU$8</f>
        <v>222</v>
      </c>
      <c r="AP6">
        <f>'Company Scorecard'!AV$8</f>
        <v>217</v>
      </c>
      <c r="AQ6">
        <f>'Company Scorecard'!AW$8</f>
        <v>219</v>
      </c>
      <c r="AR6">
        <f>'Company Scorecard'!AX$8</f>
        <v>223</v>
      </c>
      <c r="AS6">
        <f>'Company Scorecard'!AY$8</f>
        <v>217</v>
      </c>
      <c r="AT6" s="154">
        <f>'Company Scorecard'!AZ$8</f>
        <v>215</v>
      </c>
      <c r="AU6">
        <f>'Company Scorecard'!BA$8</f>
        <v>206</v>
      </c>
      <c r="AV6">
        <f>'Company Scorecard'!BB$8</f>
        <v>187</v>
      </c>
      <c r="AW6">
        <f>'Company Scorecard'!BC$8</f>
        <v>175</v>
      </c>
      <c r="AX6">
        <f>'Company Scorecard'!BD$8</f>
        <v>170</v>
      </c>
      <c r="AY6">
        <f>'Company Scorecard'!BE$8</f>
        <v>161</v>
      </c>
      <c r="AZ6" s="154">
        <f>'Company Scorecard'!BF$8</f>
        <v>176</v>
      </c>
      <c r="BA6">
        <f>'Company Scorecard'!BG$8</f>
        <v>155</v>
      </c>
      <c r="BB6">
        <f>'Company Scorecard'!BH$8</f>
        <v>146</v>
      </c>
      <c r="BC6">
        <f>'Company Scorecard'!BI$8</f>
        <v>140</v>
      </c>
      <c r="BD6">
        <f>'Company Scorecard'!BJ$8</f>
        <v>132</v>
      </c>
      <c r="BE6" s="154">
        <f>'Company Scorecard'!BK$8</f>
        <v>143</v>
      </c>
      <c r="BF6">
        <f>'Company Scorecard'!BL$8</f>
        <v>129</v>
      </c>
      <c r="BG6">
        <f>'Company Scorecard'!BM$8</f>
        <v>123</v>
      </c>
      <c r="BH6">
        <f>'Company Scorecard'!BN$8</f>
        <v>115</v>
      </c>
      <c r="BI6">
        <f>'Company Scorecard'!BO$8</f>
        <v>110</v>
      </c>
      <c r="BJ6">
        <f>'Company Scorecard'!BP$8</f>
        <v>102</v>
      </c>
      <c r="BK6" s="154">
        <f>'Company Scorecard'!BQ$8</f>
        <v>116</v>
      </c>
      <c r="BL6">
        <f>'Company Scorecard'!BR$8</f>
        <v>94</v>
      </c>
      <c r="BM6">
        <f>'Company Scorecard'!BS$8</f>
        <v>88</v>
      </c>
      <c r="BN6">
        <f>'Company Scorecard'!BT$8</f>
        <v>84</v>
      </c>
      <c r="BO6">
        <f>'Company Scorecard'!BU$8</f>
        <v>85</v>
      </c>
      <c r="BP6" s="154">
        <f>'Company Scorecard'!BV$8</f>
        <v>88</v>
      </c>
      <c r="BQ6" s="154">
        <f>'Company Scorecard'!BW$8</f>
        <v>88</v>
      </c>
      <c r="BR6" s="154">
        <f>'Company Scorecard'!BX$8</f>
        <v>102</v>
      </c>
      <c r="BS6" s="154">
        <f>'Company Scorecard'!BY$8</f>
        <v>119</v>
      </c>
      <c r="BT6" s="154">
        <f>'Company Scorecard'!BZ$8</f>
        <v>129</v>
      </c>
      <c r="BU6" s="154">
        <f>'Company Scorecard'!CA$8</f>
        <v>108</v>
      </c>
      <c r="BV6" s="154">
        <f>'Company Scorecard'!CB$8</f>
        <v>138</v>
      </c>
      <c r="BW6" s="154">
        <f>'Company Scorecard'!CC$8</f>
        <v>154</v>
      </c>
      <c r="BX6" s="154">
        <f>'Company Scorecard'!CD$8</f>
        <v>167</v>
      </c>
      <c r="BY6" s="154">
        <f>'Company Scorecard'!CE$8</f>
        <v>171</v>
      </c>
      <c r="BZ6" s="154">
        <f>'Company Scorecard'!CF$8</f>
        <v>159</v>
      </c>
      <c r="CA6" s="154">
        <f>'Company Scorecard'!CG$8</f>
        <v>179</v>
      </c>
      <c r="CB6" s="154">
        <f>'Company Scorecard'!CH$8</f>
        <v>181</v>
      </c>
      <c r="CC6" s="154">
        <f>'Company Scorecard'!CI$8</f>
        <v>182</v>
      </c>
      <c r="CD6" s="154">
        <f>'Company Scorecard'!CJ$8</f>
        <v>186</v>
      </c>
      <c r="CE6" s="154">
        <f>'Company Scorecard'!CK$8</f>
        <v>201</v>
      </c>
      <c r="CF6" s="154">
        <f>'Company Scorecard'!CL$8</f>
        <v>185</v>
      </c>
    </row>
    <row r="7" spans="1:84">
      <c r="D7" s="9" t="s">
        <v>74</v>
      </c>
      <c r="E7" s="9">
        <f t="shared" ref="E7:S7" si="1">E5+E6</f>
        <v>266</v>
      </c>
      <c r="F7" s="9">
        <f t="shared" si="1"/>
        <v>264</v>
      </c>
      <c r="G7" s="9">
        <f t="shared" si="1"/>
        <v>262</v>
      </c>
      <c r="H7" s="9">
        <f t="shared" si="1"/>
        <v>265</v>
      </c>
      <c r="I7" s="160">
        <f t="shared" ref="I7" si="2">I5+I6</f>
        <v>261</v>
      </c>
      <c r="J7" s="9">
        <f t="shared" si="1"/>
        <v>262</v>
      </c>
      <c r="K7" s="9">
        <f t="shared" si="1"/>
        <v>268</v>
      </c>
      <c r="L7" s="9">
        <f t="shared" si="1"/>
        <v>274</v>
      </c>
      <c r="M7" s="9">
        <f t="shared" si="1"/>
        <v>277</v>
      </c>
      <c r="N7" s="160">
        <f>N5+N6</f>
        <v>268</v>
      </c>
      <c r="O7" s="9">
        <f t="shared" si="1"/>
        <v>278</v>
      </c>
      <c r="P7" s="9">
        <f t="shared" si="1"/>
        <v>278</v>
      </c>
      <c r="Q7" s="9">
        <f t="shared" si="1"/>
        <v>283</v>
      </c>
      <c r="R7" s="9">
        <f t="shared" si="1"/>
        <v>287</v>
      </c>
      <c r="S7" s="9">
        <f t="shared" si="1"/>
        <v>298</v>
      </c>
      <c r="T7" s="160">
        <f t="shared" ref="T7" si="3">T5+T6</f>
        <v>279</v>
      </c>
      <c r="U7" s="9">
        <f t="shared" ref="U7:V7" si="4">U5+U6</f>
        <v>292</v>
      </c>
      <c r="V7" s="9">
        <f t="shared" si="4"/>
        <v>292</v>
      </c>
      <c r="W7" s="9">
        <f t="shared" ref="W7:Y7" si="5">W5+W6</f>
        <v>289</v>
      </c>
      <c r="X7" s="9">
        <f t="shared" si="5"/>
        <v>286</v>
      </c>
      <c r="Y7" s="228">
        <f t="shared" si="5"/>
        <v>285</v>
      </c>
      <c r="Z7" s="228">
        <f t="shared" ref="Z7:AA7" si="6">Z5+Z6</f>
        <v>277</v>
      </c>
      <c r="AA7" s="9">
        <f t="shared" si="6"/>
        <v>267</v>
      </c>
      <c r="AB7" s="9">
        <f t="shared" ref="AB7:AC7" si="7">AB5+AB6</f>
        <v>263</v>
      </c>
      <c r="AC7" s="9">
        <f t="shared" si="7"/>
        <v>269</v>
      </c>
      <c r="AD7" s="160">
        <f t="shared" ref="AD7:AH7" si="8">AD5+AD6</f>
        <v>262</v>
      </c>
      <c r="AE7" s="228">
        <f t="shared" si="8"/>
        <v>279</v>
      </c>
      <c r="AF7" s="9">
        <f t="shared" si="8"/>
        <v>279</v>
      </c>
      <c r="AG7" s="9">
        <f t="shared" ref="AG7" si="9">AG5+AG6</f>
        <v>285</v>
      </c>
      <c r="AH7" s="9">
        <f t="shared" si="8"/>
        <v>287</v>
      </c>
      <c r="AI7" s="9">
        <f>AI5+AI6</f>
        <v>288</v>
      </c>
      <c r="AJ7" s="160">
        <f t="shared" ref="AJ7" si="10">AJ5+AJ6</f>
        <v>271</v>
      </c>
      <c r="AK7" s="9">
        <f>AK5+AK6</f>
        <v>291</v>
      </c>
      <c r="AL7" s="9">
        <f>AL5+AL6</f>
        <v>288</v>
      </c>
      <c r="AM7" s="9">
        <f>AM5+AM6</f>
        <v>282</v>
      </c>
      <c r="AN7" s="9">
        <f>AN5+AN6</f>
        <v>274</v>
      </c>
      <c r="AO7" s="160">
        <f t="shared" ref="AO7" si="11">AO5+AO6</f>
        <v>274</v>
      </c>
      <c r="AP7" s="9">
        <f t="shared" ref="AP7:BQ7" si="12">AP5+AP6</f>
        <v>270</v>
      </c>
      <c r="AQ7" s="9">
        <f t="shared" si="12"/>
        <v>270</v>
      </c>
      <c r="AR7" s="9">
        <f t="shared" si="12"/>
        <v>271</v>
      </c>
      <c r="AS7" s="9">
        <f t="shared" si="12"/>
        <v>265</v>
      </c>
      <c r="AT7" s="160">
        <f t="shared" si="12"/>
        <v>264</v>
      </c>
      <c r="AU7" s="9">
        <f t="shared" si="12"/>
        <v>263</v>
      </c>
      <c r="AV7" s="9">
        <f t="shared" si="12"/>
        <v>259</v>
      </c>
      <c r="AW7" s="9">
        <f t="shared" si="12"/>
        <v>258</v>
      </c>
      <c r="AX7" s="9">
        <f t="shared" si="12"/>
        <v>262</v>
      </c>
      <c r="AY7" s="9">
        <f t="shared" si="12"/>
        <v>268</v>
      </c>
      <c r="AZ7" s="160">
        <f t="shared" si="12"/>
        <v>259</v>
      </c>
      <c r="BA7" s="9">
        <f t="shared" si="12"/>
        <v>273</v>
      </c>
      <c r="BB7" s="9">
        <f t="shared" si="12"/>
        <v>282</v>
      </c>
      <c r="BC7" s="9">
        <f t="shared" si="12"/>
        <v>288</v>
      </c>
      <c r="BD7" s="9">
        <f t="shared" si="12"/>
        <v>287</v>
      </c>
      <c r="BE7" s="160">
        <f t="shared" si="12"/>
        <v>282</v>
      </c>
      <c r="BF7" s="9">
        <f t="shared" si="12"/>
        <v>288</v>
      </c>
      <c r="BG7" s="9">
        <f t="shared" si="12"/>
        <v>279</v>
      </c>
      <c r="BH7" s="9">
        <f t="shared" si="12"/>
        <v>270</v>
      </c>
      <c r="BI7" s="9">
        <f t="shared" si="12"/>
        <v>261</v>
      </c>
      <c r="BJ7" s="9">
        <f t="shared" si="12"/>
        <v>248</v>
      </c>
      <c r="BK7" s="160">
        <f t="shared" si="12"/>
        <v>268</v>
      </c>
      <c r="BL7" s="9">
        <f t="shared" si="12"/>
        <v>237</v>
      </c>
      <c r="BM7" s="9">
        <f t="shared" si="12"/>
        <v>233</v>
      </c>
      <c r="BN7" s="9">
        <f t="shared" si="12"/>
        <v>232</v>
      </c>
      <c r="BO7" s="9">
        <f t="shared" si="12"/>
        <v>237</v>
      </c>
      <c r="BP7" s="160">
        <f t="shared" si="12"/>
        <v>233</v>
      </c>
      <c r="BQ7" s="160">
        <f t="shared" si="12"/>
        <v>246</v>
      </c>
      <c r="BR7" s="160">
        <f t="shared" ref="BR7:BS7" si="13">BR5+BR6</f>
        <v>250</v>
      </c>
      <c r="BS7" s="160">
        <f t="shared" si="13"/>
        <v>254</v>
      </c>
      <c r="BT7" s="160">
        <f t="shared" ref="BT7:BU7" si="14">BT5+BT6</f>
        <v>257</v>
      </c>
      <c r="BU7" s="160">
        <f t="shared" si="14"/>
        <v>248</v>
      </c>
      <c r="BV7" s="160">
        <f t="shared" ref="BV7:BW7" si="15">BV5+BV6</f>
        <v>255</v>
      </c>
      <c r="BW7" s="160">
        <f t="shared" si="15"/>
        <v>257</v>
      </c>
      <c r="BX7" s="160">
        <f t="shared" ref="BX7:BZ7" si="16">BX5+BX6</f>
        <v>256</v>
      </c>
      <c r="BY7" s="160">
        <f t="shared" si="16"/>
        <v>248</v>
      </c>
      <c r="BZ7" s="160">
        <f t="shared" si="16"/>
        <v>252</v>
      </c>
      <c r="CA7" s="160">
        <f t="shared" ref="CA7:CB7" si="17">CA5+CA6</f>
        <v>245</v>
      </c>
      <c r="CB7" s="160">
        <f t="shared" si="17"/>
        <v>241</v>
      </c>
      <c r="CC7" s="160">
        <f t="shared" ref="CC7:CD7" si="18">CC5+CC6</f>
        <v>238</v>
      </c>
      <c r="CD7" s="160">
        <f t="shared" si="18"/>
        <v>238</v>
      </c>
      <c r="CE7" s="160">
        <f t="shared" ref="CE7:CF7" si="19">CE5+CE6</f>
        <v>250</v>
      </c>
      <c r="CF7" s="160">
        <f t="shared" si="19"/>
        <v>240</v>
      </c>
    </row>
    <row r="8" spans="1:84" s="11" customFormat="1">
      <c r="A8" s="10" t="s">
        <v>81</v>
      </c>
      <c r="B8" s="10"/>
      <c r="C8" s="54" t="s">
        <v>2</v>
      </c>
      <c r="I8" s="153"/>
      <c r="N8" s="153"/>
      <c r="T8" s="153"/>
      <c r="Y8" s="229"/>
      <c r="Z8" s="229"/>
      <c r="AD8" s="153"/>
      <c r="AE8" s="229"/>
      <c r="AJ8" s="153"/>
      <c r="AO8" s="153"/>
      <c r="AT8" s="153"/>
      <c r="AZ8" s="153"/>
      <c r="BE8" s="153"/>
      <c r="BK8" s="153"/>
      <c r="BP8" s="153"/>
      <c r="BQ8" s="153"/>
      <c r="BR8" s="153"/>
      <c r="BS8" s="153"/>
      <c r="BT8" s="153"/>
      <c r="BU8" s="153"/>
      <c r="BV8" s="153"/>
      <c r="BW8" s="153"/>
      <c r="BX8" s="153"/>
      <c r="BY8" s="153"/>
      <c r="BZ8" s="153"/>
      <c r="CA8" s="153"/>
      <c r="CB8" s="153"/>
      <c r="CC8" s="153"/>
      <c r="CD8" s="153"/>
      <c r="CE8" s="153"/>
      <c r="CF8" s="153"/>
    </row>
    <row r="9" spans="1:84">
      <c r="D9" t="s">
        <v>84</v>
      </c>
      <c r="E9">
        <f t="shared" ref="E9:U9" si="20">E7/2.5</f>
        <v>106.4</v>
      </c>
      <c r="F9">
        <f t="shared" si="20"/>
        <v>105.6</v>
      </c>
      <c r="G9">
        <f t="shared" si="20"/>
        <v>104.8</v>
      </c>
      <c r="H9">
        <f t="shared" si="20"/>
        <v>106</v>
      </c>
      <c r="I9" s="154">
        <f t="shared" ref="I9" si="21">I7/2.5</f>
        <v>104.4</v>
      </c>
      <c r="J9">
        <f t="shared" si="20"/>
        <v>104.8</v>
      </c>
      <c r="K9">
        <f t="shared" si="20"/>
        <v>107.2</v>
      </c>
      <c r="L9">
        <f t="shared" si="20"/>
        <v>109.6</v>
      </c>
      <c r="M9">
        <f t="shared" si="20"/>
        <v>110.8</v>
      </c>
      <c r="N9" s="154">
        <f>N7/2.5</f>
        <v>107.2</v>
      </c>
      <c r="O9">
        <f t="shared" si="20"/>
        <v>111.2</v>
      </c>
      <c r="P9">
        <f t="shared" si="20"/>
        <v>111.2</v>
      </c>
      <c r="Q9">
        <f t="shared" si="20"/>
        <v>113.2</v>
      </c>
      <c r="R9">
        <f t="shared" si="20"/>
        <v>114.8</v>
      </c>
      <c r="S9">
        <f t="shared" si="20"/>
        <v>119.2</v>
      </c>
      <c r="T9" s="154">
        <f t="shared" si="20"/>
        <v>111.6</v>
      </c>
      <c r="U9">
        <f t="shared" si="20"/>
        <v>116.8</v>
      </c>
      <c r="V9">
        <f t="shared" ref="V9:Y9" si="22">V7/2.5</f>
        <v>116.8</v>
      </c>
      <c r="W9">
        <f t="shared" si="22"/>
        <v>115.6</v>
      </c>
      <c r="X9">
        <f t="shared" si="22"/>
        <v>114.4</v>
      </c>
      <c r="Y9" s="227">
        <f t="shared" si="22"/>
        <v>114</v>
      </c>
      <c r="Z9" s="227">
        <f t="shared" ref="Z9:AA9" si="23">Z7/2.5</f>
        <v>110.8</v>
      </c>
      <c r="AA9">
        <f t="shared" si="23"/>
        <v>106.8</v>
      </c>
      <c r="AB9">
        <f t="shared" ref="AB9:AE9" si="24">AB7/2.5</f>
        <v>105.2</v>
      </c>
      <c r="AC9">
        <f t="shared" si="24"/>
        <v>107.6</v>
      </c>
      <c r="AD9" s="154">
        <f t="shared" si="24"/>
        <v>104.8</v>
      </c>
      <c r="AE9">
        <f t="shared" si="24"/>
        <v>111.6</v>
      </c>
      <c r="AF9">
        <f t="shared" ref="AF9:BQ9" si="25">AF7/2.5</f>
        <v>111.6</v>
      </c>
      <c r="AG9">
        <f t="shared" si="25"/>
        <v>114</v>
      </c>
      <c r="AH9">
        <f t="shared" si="25"/>
        <v>114.8</v>
      </c>
      <c r="AI9">
        <f t="shared" si="25"/>
        <v>115.2</v>
      </c>
      <c r="AJ9" s="154">
        <f t="shared" si="25"/>
        <v>108.4</v>
      </c>
      <c r="AK9">
        <f t="shared" si="25"/>
        <v>116.4</v>
      </c>
      <c r="AL9">
        <f t="shared" si="25"/>
        <v>115.2</v>
      </c>
      <c r="AM9">
        <f t="shared" si="25"/>
        <v>112.8</v>
      </c>
      <c r="AN9">
        <f t="shared" si="25"/>
        <v>109.6</v>
      </c>
      <c r="AO9" s="154">
        <f t="shared" si="25"/>
        <v>109.6</v>
      </c>
      <c r="AP9">
        <f t="shared" si="25"/>
        <v>108</v>
      </c>
      <c r="AQ9">
        <f t="shared" si="25"/>
        <v>108</v>
      </c>
      <c r="AR9">
        <f t="shared" si="25"/>
        <v>108.4</v>
      </c>
      <c r="AS9">
        <f t="shared" si="25"/>
        <v>106</v>
      </c>
      <c r="AT9" s="154">
        <f t="shared" si="25"/>
        <v>105.6</v>
      </c>
      <c r="AU9">
        <f t="shared" si="25"/>
        <v>105.2</v>
      </c>
      <c r="AV9">
        <f t="shared" si="25"/>
        <v>103.6</v>
      </c>
      <c r="AW9">
        <f t="shared" si="25"/>
        <v>103.2</v>
      </c>
      <c r="AX9">
        <f t="shared" si="25"/>
        <v>104.8</v>
      </c>
      <c r="AY9">
        <f t="shared" si="25"/>
        <v>107.2</v>
      </c>
      <c r="AZ9" s="154">
        <f t="shared" si="25"/>
        <v>103.6</v>
      </c>
      <c r="BA9">
        <f t="shared" si="25"/>
        <v>109.2</v>
      </c>
      <c r="BB9">
        <f t="shared" si="25"/>
        <v>112.8</v>
      </c>
      <c r="BC9">
        <f t="shared" si="25"/>
        <v>115.2</v>
      </c>
      <c r="BD9">
        <f t="shared" si="25"/>
        <v>114.8</v>
      </c>
      <c r="BE9" s="154">
        <f t="shared" si="25"/>
        <v>112.8</v>
      </c>
      <c r="BF9">
        <f t="shared" si="25"/>
        <v>115.2</v>
      </c>
      <c r="BG9">
        <f t="shared" si="25"/>
        <v>111.6</v>
      </c>
      <c r="BH9">
        <f t="shared" si="25"/>
        <v>108</v>
      </c>
      <c r="BI9">
        <f t="shared" si="25"/>
        <v>104.4</v>
      </c>
      <c r="BJ9">
        <f t="shared" si="25"/>
        <v>99.2</v>
      </c>
      <c r="BK9" s="154">
        <f t="shared" si="25"/>
        <v>107.2</v>
      </c>
      <c r="BL9">
        <f t="shared" si="25"/>
        <v>94.8</v>
      </c>
      <c r="BM9">
        <f t="shared" si="25"/>
        <v>93.2</v>
      </c>
      <c r="BN9">
        <f t="shared" si="25"/>
        <v>92.8</v>
      </c>
      <c r="BO9">
        <f t="shared" si="25"/>
        <v>94.8</v>
      </c>
      <c r="BP9" s="154">
        <f t="shared" si="25"/>
        <v>93.2</v>
      </c>
      <c r="BQ9" s="154">
        <f t="shared" si="25"/>
        <v>98.4</v>
      </c>
      <c r="BR9" s="154">
        <f t="shared" ref="BR9:BS9" si="26">BR7/2.5</f>
        <v>100</v>
      </c>
      <c r="BS9" s="154">
        <f t="shared" si="26"/>
        <v>101.6</v>
      </c>
      <c r="BT9" s="154">
        <f t="shared" ref="BT9:BU9" si="27">BT7/2.5</f>
        <v>102.8</v>
      </c>
      <c r="BU9" s="154">
        <f t="shared" si="27"/>
        <v>99.2</v>
      </c>
      <c r="BV9" s="154">
        <f t="shared" ref="BV9:BW9" si="28">BV7/2.5</f>
        <v>102</v>
      </c>
      <c r="BW9" s="154">
        <f t="shared" si="28"/>
        <v>102.8</v>
      </c>
      <c r="BX9" s="154">
        <f t="shared" ref="BX9:BZ9" si="29">BX7/2.5</f>
        <v>102.4</v>
      </c>
      <c r="BY9" s="154">
        <f t="shared" si="29"/>
        <v>99.2</v>
      </c>
      <c r="BZ9" s="154">
        <f t="shared" si="29"/>
        <v>100.8</v>
      </c>
      <c r="CA9" s="154">
        <f t="shared" ref="CA9:CB9" si="30">CA7/2.5</f>
        <v>98</v>
      </c>
      <c r="CB9" s="154">
        <f t="shared" si="30"/>
        <v>96.4</v>
      </c>
      <c r="CC9" s="154">
        <f>CC7/2.5</f>
        <v>95.2</v>
      </c>
      <c r="CD9" s="154">
        <f>CD7/2.5</f>
        <v>95.2</v>
      </c>
      <c r="CE9" s="154">
        <f>CE7/2.5</f>
        <v>100</v>
      </c>
      <c r="CF9" s="154">
        <f t="shared" ref="CF9" si="31">CF7/2.5</f>
        <v>96</v>
      </c>
    </row>
    <row r="10" spans="1:84" s="11" customFormat="1">
      <c r="A10" s="10" t="s">
        <v>282</v>
      </c>
      <c r="B10" s="10"/>
      <c r="C10" s="54" t="s">
        <v>2</v>
      </c>
      <c r="I10" s="153"/>
      <c r="N10" s="153"/>
      <c r="T10" s="153"/>
      <c r="Y10" s="229"/>
      <c r="Z10" s="229"/>
      <c r="AD10" s="153"/>
      <c r="AE10" s="229"/>
      <c r="AJ10" s="153"/>
      <c r="AO10" s="153"/>
      <c r="AT10" s="153"/>
      <c r="AZ10" s="153"/>
      <c r="BE10" s="153"/>
      <c r="BK10" s="153"/>
      <c r="BP10" s="153"/>
      <c r="BQ10" s="153"/>
      <c r="BR10" s="153"/>
      <c r="BS10" s="153"/>
      <c r="BT10" s="153"/>
      <c r="BU10" s="153"/>
      <c r="BV10" s="153"/>
      <c r="BW10" s="153"/>
      <c r="BX10" s="153"/>
      <c r="BY10" s="153"/>
      <c r="BZ10" s="153"/>
      <c r="CA10" s="153"/>
      <c r="CB10" s="153"/>
      <c r="CC10" s="153"/>
      <c r="CD10" s="153"/>
      <c r="CE10" s="153"/>
      <c r="CF10" s="153"/>
    </row>
    <row r="11" spans="1:84">
      <c r="D11" t="s">
        <v>67</v>
      </c>
      <c r="E11">
        <f>'Company Scorecard'!K20</f>
        <v>9</v>
      </c>
      <c r="F11">
        <f>'Company Scorecard'!L20</f>
        <v>9</v>
      </c>
      <c r="G11">
        <f>'Company Scorecard'!M20</f>
        <v>9</v>
      </c>
      <c r="H11">
        <v>9</v>
      </c>
      <c r="I11" s="154">
        <v>10</v>
      </c>
      <c r="J11">
        <f>'Company Scorecard'!P20</f>
        <v>12</v>
      </c>
      <c r="K11">
        <f>'Company Scorecard'!Q20</f>
        <v>13</v>
      </c>
      <c r="L11">
        <f>'Company Scorecard'!R20</f>
        <v>13</v>
      </c>
      <c r="M11">
        <f>'Company Scorecard'!S20</f>
        <v>10</v>
      </c>
      <c r="N11" s="154">
        <f>'Company Scorecard'!$T$20</f>
        <v>50</v>
      </c>
      <c r="O11">
        <f>'Company Scorecard'!U20</f>
        <v>0</v>
      </c>
      <c r="P11">
        <f>'Company Scorecard'!V20</f>
        <v>0</v>
      </c>
      <c r="Q11">
        <f>'Company Scorecard'!W20</f>
        <v>0</v>
      </c>
      <c r="R11">
        <f>'Company Scorecard'!X20</f>
        <v>1</v>
      </c>
      <c r="S11">
        <f>'Company Scorecard'!Y20</f>
        <v>0</v>
      </c>
      <c r="T11" s="154">
        <f>'Company Scorecard'!Z$20</f>
        <v>1</v>
      </c>
      <c r="U11">
        <f>'Company Scorecard'!AA20</f>
        <v>0</v>
      </c>
      <c r="V11">
        <f>'Company Scorecard'!AB20</f>
        <v>0</v>
      </c>
      <c r="W11">
        <f>'Company Scorecard'!AC20</f>
        <v>0</v>
      </c>
      <c r="X11">
        <f>'Company Scorecard'!AD20</f>
        <v>0</v>
      </c>
      <c r="Y11" s="227">
        <f>'Company Scorecard'!AE$20</f>
        <v>0</v>
      </c>
      <c r="Z11" s="227">
        <f>'Company Scorecard'!AF20</f>
        <v>0</v>
      </c>
      <c r="AA11">
        <f>'Company Scorecard'!AG20</f>
        <v>0</v>
      </c>
      <c r="AB11">
        <f>'Company Scorecard'!AH20</f>
        <v>0</v>
      </c>
      <c r="AC11">
        <f>'Company Scorecard'!AI20</f>
        <v>0</v>
      </c>
      <c r="AD11" s="154">
        <f>'Company Scorecard'!AJ$20</f>
        <v>0</v>
      </c>
      <c r="AE11">
        <f>'Company Scorecard'!AK20</f>
        <v>1</v>
      </c>
      <c r="AF11">
        <f>'Company Scorecard'!AL20</f>
        <v>0</v>
      </c>
      <c r="AG11">
        <f>'Company Scorecard'!AM20</f>
        <v>0</v>
      </c>
      <c r="AH11">
        <f>'Company Scorecard'!AN20</f>
        <v>1</v>
      </c>
      <c r="AI11">
        <f>'Company Scorecard'!AO20</f>
        <v>0</v>
      </c>
      <c r="AJ11" s="154">
        <f>'Company Scorecard'!AP$20</f>
        <v>2</v>
      </c>
      <c r="AK11">
        <f>'Company Scorecard'!AQ20</f>
        <v>0</v>
      </c>
      <c r="AL11">
        <f>'Company Scorecard'!AR20</f>
        <v>1</v>
      </c>
      <c r="AM11">
        <f>'Company Scorecard'!AS20</f>
        <v>1</v>
      </c>
      <c r="AN11">
        <f>'Company Scorecard'!AT20</f>
        <v>1</v>
      </c>
      <c r="AO11" s="154">
        <f>'Company Scorecard'!AU$20</f>
        <v>3</v>
      </c>
      <c r="AP11">
        <f>'Company Scorecard'!AV20</f>
        <v>3</v>
      </c>
      <c r="AQ11">
        <f>'Company Scorecard'!AW20</f>
        <v>0</v>
      </c>
      <c r="AR11">
        <f>'Company Scorecard'!AX20</f>
        <v>1</v>
      </c>
      <c r="AS11">
        <f>'Company Scorecard'!AY20</f>
        <v>6</v>
      </c>
      <c r="AT11" s="154">
        <f>'Company Scorecard'!AZ$20</f>
        <v>16</v>
      </c>
      <c r="AU11">
        <f>'Company Scorecard'!BA20</f>
        <v>17</v>
      </c>
      <c r="AV11">
        <f>'Company Scorecard'!BB20</f>
        <v>17</v>
      </c>
      <c r="AW11">
        <f>'Company Scorecard'!BC20</f>
        <v>9</v>
      </c>
      <c r="AX11">
        <f>'Company Scorecard'!BD20</f>
        <v>19</v>
      </c>
      <c r="AY11">
        <f>'Company Scorecard'!BE20</f>
        <v>22</v>
      </c>
      <c r="AZ11" s="154">
        <f>'Company Scorecard'!BF$20</f>
        <v>74</v>
      </c>
      <c r="BA11">
        <f>'Company Scorecard'!BG20</f>
        <v>21</v>
      </c>
      <c r="BB11">
        <f>'Company Scorecard'!BH20</f>
        <v>21</v>
      </c>
      <c r="BC11">
        <f>'Company Scorecard'!BI20</f>
        <v>22</v>
      </c>
      <c r="BD11">
        <f>'Company Scorecard'!BJ20</f>
        <v>13</v>
      </c>
      <c r="BE11" s="154">
        <f>'Company Scorecard'!BK$20</f>
        <v>83</v>
      </c>
      <c r="BF11">
        <f>'Company Scorecard'!BL20</f>
        <v>19</v>
      </c>
      <c r="BG11">
        <f>'Company Scorecard'!BM20</f>
        <v>14</v>
      </c>
      <c r="BH11">
        <f>'Company Scorecard'!BN20</f>
        <v>18</v>
      </c>
      <c r="BI11">
        <f>'Company Scorecard'!BO20</f>
        <v>6</v>
      </c>
      <c r="BJ11">
        <f>'Company Scorecard'!BP20</f>
        <v>8</v>
      </c>
      <c r="BK11" s="154">
        <f>'Company Scorecard'!BQ$20</f>
        <v>62</v>
      </c>
      <c r="BL11">
        <f>'Company Scorecard'!BR20</f>
        <v>17</v>
      </c>
      <c r="BM11">
        <f>'Company Scorecard'!BS20</f>
        <v>22</v>
      </c>
      <c r="BN11">
        <f>'Company Scorecard'!BT20</f>
        <v>10</v>
      </c>
      <c r="BO11">
        <f>'Company Scorecard'!BU20</f>
        <v>18</v>
      </c>
      <c r="BP11" s="154">
        <f>'Company Scorecard'!BV$20</f>
        <v>71</v>
      </c>
      <c r="BQ11" s="154">
        <f>'Company Scorecard'!BW$20</f>
        <v>11</v>
      </c>
      <c r="BR11" s="154">
        <f>'Company Scorecard'!BX$20</f>
        <v>0</v>
      </c>
      <c r="BS11" s="154">
        <f>'Company Scorecard'!BY$20</f>
        <v>1</v>
      </c>
      <c r="BT11" s="154">
        <f>'Company Scorecard'!BZ$20</f>
        <v>0</v>
      </c>
      <c r="BU11" s="154">
        <f>'Company Scorecard'!CA$20</f>
        <v>11</v>
      </c>
      <c r="BV11" s="154">
        <f>'Company Scorecard'!CB$20</f>
        <v>0</v>
      </c>
      <c r="BW11" s="154">
        <f>'Company Scorecard'!CC$20</f>
        <v>0</v>
      </c>
      <c r="BX11" s="154">
        <f>'Company Scorecard'!CD$20</f>
        <v>0</v>
      </c>
      <c r="BY11" s="154">
        <f>'Company Scorecard'!CE$20</f>
        <v>0</v>
      </c>
      <c r="BZ11" s="154">
        <f>'Company Scorecard'!CF$20</f>
        <v>0</v>
      </c>
      <c r="CA11" s="154">
        <f>'Company Scorecard'!CG$20</f>
        <v>0</v>
      </c>
      <c r="CB11" s="154">
        <f>'Company Scorecard'!CH$20</f>
        <v>0</v>
      </c>
      <c r="CC11" s="154">
        <f>'Company Scorecard'!CI$20</f>
        <v>2</v>
      </c>
      <c r="CD11" s="154">
        <f>'Company Scorecard'!CJ$20</f>
        <v>0</v>
      </c>
      <c r="CE11" s="154">
        <f>'Company Scorecard'!CK$20</f>
        <v>0</v>
      </c>
      <c r="CF11" s="154">
        <f>'Company Scorecard'!CL$20</f>
        <v>2</v>
      </c>
    </row>
    <row r="12" spans="1:84">
      <c r="D12" t="s">
        <v>68</v>
      </c>
      <c r="E12">
        <f>'Company Scorecard'!K21</f>
        <v>11</v>
      </c>
      <c r="F12">
        <f>'Company Scorecard'!L21</f>
        <v>10</v>
      </c>
      <c r="G12">
        <f>'Company Scorecard'!M21</f>
        <v>12</v>
      </c>
      <c r="H12">
        <f>'Company Scorecard'!N21</f>
        <v>10</v>
      </c>
      <c r="I12" s="154">
        <f>'Company Scorecard'!O21</f>
        <v>43</v>
      </c>
      <c r="J12">
        <f>'Company Scorecard'!P21</f>
        <v>9</v>
      </c>
      <c r="K12">
        <f>'Company Scorecard'!Q21</f>
        <v>7</v>
      </c>
      <c r="L12">
        <f>'Company Scorecard'!R21</f>
        <v>8</v>
      </c>
      <c r="M12">
        <f>'Company Scorecard'!S21</f>
        <v>5</v>
      </c>
      <c r="N12" s="154">
        <f>'Company Scorecard'!$T$21</f>
        <v>32</v>
      </c>
      <c r="O12">
        <f>'Company Scorecard'!U21</f>
        <v>28</v>
      </c>
      <c r="P12">
        <f>'Company Scorecard'!V21</f>
        <v>20</v>
      </c>
      <c r="Q12">
        <f>'Company Scorecard'!W21</f>
        <v>19</v>
      </c>
      <c r="R12">
        <f>'Company Scorecard'!X21</f>
        <v>23</v>
      </c>
      <c r="S12">
        <f>'Company Scorecard'!Y21</f>
        <v>25</v>
      </c>
      <c r="T12" s="154">
        <f>'Company Scorecard'!Z$21</f>
        <v>107</v>
      </c>
      <c r="U12">
        <f>'Company Scorecard'!AA21</f>
        <v>22</v>
      </c>
      <c r="V12">
        <f>'Company Scorecard'!AB21</f>
        <v>19</v>
      </c>
      <c r="W12">
        <f>'Company Scorecard'!AC21</f>
        <v>17</v>
      </c>
      <c r="X12">
        <f>'Company Scorecard'!AD21</f>
        <v>18</v>
      </c>
      <c r="Y12" s="227">
        <f>'Company Scorecard'!AE$21</f>
        <v>80</v>
      </c>
      <c r="Z12" s="227">
        <f>'Company Scorecard'!AF21</f>
        <v>10</v>
      </c>
      <c r="AA12">
        <f>'Company Scorecard'!AG21</f>
        <v>15</v>
      </c>
      <c r="AB12">
        <f>'Company Scorecard'!AH21</f>
        <v>21</v>
      </c>
      <c r="AC12">
        <f>'Company Scorecard'!AI21</f>
        <v>22</v>
      </c>
      <c r="AD12" s="154">
        <f>'Company Scorecard'!AJ$21</f>
        <v>72</v>
      </c>
      <c r="AE12">
        <f>'Company Scorecard'!AK21</f>
        <v>17</v>
      </c>
      <c r="AF12">
        <f>'Company Scorecard'!AL21</f>
        <v>11</v>
      </c>
      <c r="AG12">
        <f>'Company Scorecard'!AM21</f>
        <v>18</v>
      </c>
      <c r="AH12">
        <f>'Company Scorecard'!AN21</f>
        <v>14</v>
      </c>
      <c r="AI12">
        <f>'Company Scorecard'!AO21</f>
        <v>17</v>
      </c>
      <c r="AJ12" s="154">
        <f>'Company Scorecard'!AP$21</f>
        <v>65</v>
      </c>
      <c r="AK12">
        <f>'Company Scorecard'!AQ21</f>
        <v>14</v>
      </c>
      <c r="AL12">
        <f>'Company Scorecard'!AR21</f>
        <v>20</v>
      </c>
      <c r="AM12">
        <f>'Company Scorecard'!AS21</f>
        <v>8</v>
      </c>
      <c r="AN12">
        <f>'Company Scorecard'!AT21</f>
        <v>12</v>
      </c>
      <c r="AO12" s="154">
        <f>'Company Scorecard'!AU$21</f>
        <v>60</v>
      </c>
      <c r="AP12">
        <f>'Company Scorecard'!AV21</f>
        <v>15</v>
      </c>
      <c r="AQ12">
        <f>'Company Scorecard'!AW21</f>
        <v>18</v>
      </c>
      <c r="AR12">
        <f>'Company Scorecard'!AX21</f>
        <v>14</v>
      </c>
      <c r="AS12">
        <f>'Company Scorecard'!AY21</f>
        <v>4</v>
      </c>
      <c r="AT12" s="154">
        <f>'Company Scorecard'!AZ$21</f>
        <v>55</v>
      </c>
      <c r="AU12">
        <f>'Company Scorecard'!BA21</f>
        <v>6</v>
      </c>
      <c r="AV12">
        <f>'Company Scorecard'!BB21</f>
        <v>1</v>
      </c>
      <c r="AW12">
        <f>'Company Scorecard'!BC21</f>
        <v>6</v>
      </c>
      <c r="AX12">
        <f>'Company Scorecard'!BD21</f>
        <v>4</v>
      </c>
      <c r="AY12">
        <f>'Company Scorecard'!BE21</f>
        <v>3</v>
      </c>
      <c r="AZ12" s="154">
        <f>'Company Scorecard'!BF$21</f>
        <v>15</v>
      </c>
      <c r="BA12">
        <f>'Company Scorecard'!BG21</f>
        <v>2</v>
      </c>
      <c r="BB12">
        <f>'Company Scorecard'!BH21</f>
        <v>1</v>
      </c>
      <c r="BC12">
        <f>'Company Scorecard'!BI21</f>
        <v>0</v>
      </c>
      <c r="BD12">
        <f>'Company Scorecard'!BJ21</f>
        <v>0</v>
      </c>
      <c r="BE12" s="154">
        <f>'Company Scorecard'!BK$21</f>
        <v>4</v>
      </c>
      <c r="BF12">
        <f>'Company Scorecard'!BL21</f>
        <v>3</v>
      </c>
      <c r="BG12">
        <f>'Company Scorecard'!BM21</f>
        <v>8</v>
      </c>
      <c r="BH12">
        <f>'Company Scorecard'!BN21</f>
        <v>0</v>
      </c>
      <c r="BI12">
        <f>'Company Scorecard'!BO21</f>
        <v>5</v>
      </c>
      <c r="BJ12">
        <f>'Company Scorecard'!BP21</f>
        <v>0</v>
      </c>
      <c r="BK12" s="154">
        <f>'Company Scorecard'!BQ$21</f>
        <v>16</v>
      </c>
      <c r="BL12">
        <f>'Company Scorecard'!BR21</f>
        <v>7</v>
      </c>
      <c r="BM12">
        <f>'Company Scorecard'!BS21</f>
        <v>2</v>
      </c>
      <c r="BN12">
        <f>'Company Scorecard'!BT21</f>
        <v>8</v>
      </c>
      <c r="BO12">
        <f>'Company Scorecard'!BU21</f>
        <v>3</v>
      </c>
      <c r="BP12" s="154">
        <f>'Company Scorecard'!BV$21</f>
        <v>20</v>
      </c>
      <c r="BQ12" s="154">
        <f>'Company Scorecard'!BW$21</f>
        <v>15</v>
      </c>
      <c r="BR12" s="154">
        <f>'Company Scorecard'!BX$21</f>
        <v>20</v>
      </c>
      <c r="BS12" s="154">
        <f>'Company Scorecard'!BY$21</f>
        <v>22</v>
      </c>
      <c r="BT12" s="154">
        <f>'Company Scorecard'!BZ$21</f>
        <v>19</v>
      </c>
      <c r="BU12" s="154">
        <f>'Company Scorecard'!CA$21</f>
        <v>73</v>
      </c>
      <c r="BV12" s="154">
        <f>'Company Scorecard'!CB$21</f>
        <v>17</v>
      </c>
      <c r="BW12" s="154">
        <f>'Company Scorecard'!CC$21</f>
        <v>24</v>
      </c>
      <c r="BX12" s="154">
        <f>'Company Scorecard'!CD$21</f>
        <v>15</v>
      </c>
      <c r="BY12" s="154">
        <f>'Company Scorecard'!CE$21</f>
        <v>24</v>
      </c>
      <c r="BZ12" s="154">
        <f>'Company Scorecard'!CF$21</f>
        <v>86</v>
      </c>
      <c r="CA12" s="154">
        <f>'Company Scorecard'!CG$21</f>
        <v>17</v>
      </c>
      <c r="CB12" s="154">
        <f>'Company Scorecard'!CH$21</f>
        <v>13</v>
      </c>
      <c r="CC12" s="154">
        <f>'Company Scorecard'!CI$21</f>
        <v>19</v>
      </c>
      <c r="CD12" s="154">
        <f>'Company Scorecard'!CJ$21</f>
        <v>18</v>
      </c>
      <c r="CE12" s="154">
        <f>'Company Scorecard'!CK$21</f>
        <v>22</v>
      </c>
      <c r="CF12" s="154">
        <f>'Company Scorecard'!CL$21</f>
        <v>74</v>
      </c>
    </row>
    <row r="13" spans="1:84" s="11" customFormat="1">
      <c r="A13" s="10" t="s">
        <v>91</v>
      </c>
      <c r="B13" s="10"/>
      <c r="C13" s="54" t="s">
        <v>2</v>
      </c>
      <c r="I13" s="153"/>
      <c r="N13" s="153"/>
      <c r="T13" s="153"/>
      <c r="Y13" s="229"/>
      <c r="Z13" s="229"/>
      <c r="AD13" s="153"/>
      <c r="AE13" s="229"/>
      <c r="AJ13" s="153"/>
      <c r="AO13" s="153"/>
      <c r="AT13" s="153"/>
      <c r="AZ13" s="153"/>
      <c r="BE13" s="153"/>
      <c r="BK13" s="153"/>
      <c r="BP13" s="153"/>
      <c r="BQ13" s="153"/>
      <c r="BR13" s="153"/>
      <c r="BS13" s="153"/>
      <c r="BT13" s="153"/>
      <c r="BU13" s="153"/>
      <c r="BV13" s="153"/>
      <c r="BW13" s="153"/>
      <c r="BX13" s="153"/>
      <c r="BY13" s="153"/>
      <c r="BZ13" s="153"/>
      <c r="CA13" s="153"/>
      <c r="CB13" s="153"/>
      <c r="CC13" s="153"/>
      <c r="CD13" s="153"/>
      <c r="CE13" s="153"/>
      <c r="CF13" s="153"/>
    </row>
    <row r="14" spans="1:84" s="15" customFormat="1">
      <c r="C14" s="60" t="s">
        <v>283</v>
      </c>
      <c r="D14" s="15" t="s">
        <v>67</v>
      </c>
      <c r="E14" s="15">
        <f>'Company Scorecard'!K33</f>
        <v>8.4967320261437912E-2</v>
      </c>
      <c r="F14" s="15">
        <f>'Company Scorecard'!L33</f>
        <v>9.2105263157894732E-2</v>
      </c>
      <c r="G14" s="15">
        <f>'Company Scorecard'!M33</f>
        <v>6.7114093959731544E-2</v>
      </c>
      <c r="H14" s="15">
        <f>'Company Scorecard'!N33</f>
        <v>0.08</v>
      </c>
      <c r="I14" s="161"/>
      <c r="J14" s="15">
        <f>'Company Scorecard'!P33</f>
        <v>8.666666666666667E-2</v>
      </c>
      <c r="K14" s="15">
        <f>'Company Scorecard'!Q33</f>
        <v>7.1895424836601302E-2</v>
      </c>
      <c r="L14" s="15">
        <f>'Company Scorecard'!R33</f>
        <v>5.128205128205128E-2</v>
      </c>
      <c r="M14" s="15">
        <f>'Company Scorecard'!S33</f>
        <v>8.0246913580246909E-2</v>
      </c>
      <c r="N14" s="161"/>
      <c r="O14" s="15">
        <f>'Company Scorecard'!U33</f>
        <v>5.128205128205128E-2</v>
      </c>
      <c r="P14" s="15">
        <f>'Company Scorecard'!V33</f>
        <v>0.11278195488721804</v>
      </c>
      <c r="Q14" s="15">
        <f>'Company Scorecard'!W33</f>
        <v>8.2191780821917804E-2</v>
      </c>
      <c r="R14" s="15">
        <f>'Company Scorecard'!X33</f>
        <v>4.4585987261146494E-2</v>
      </c>
      <c r="S14" s="15">
        <f>'Company Scorecard'!Y33</f>
        <v>7.9545454545454544E-2</v>
      </c>
      <c r="T14" s="161">
        <f>'Company Scorecard'!Z33</f>
        <v>0.97399999999999998</v>
      </c>
      <c r="U14" s="15">
        <f>'Company Scorecard'!AA33</f>
        <v>0.15454545454545454</v>
      </c>
      <c r="V14" s="15">
        <f>'Company Scorecard'!AB33</f>
        <v>9.8039215686274508E-2</v>
      </c>
      <c r="W14" s="15">
        <f>'Company Scorecard'!AC33</f>
        <v>7.3684210526315783E-2</v>
      </c>
      <c r="X14" s="15">
        <f>'Company Scorecard'!AD33</f>
        <v>0.11363636363636363</v>
      </c>
      <c r="Y14" s="230">
        <f>'Company Scorecard'!AE33</f>
        <v>1</v>
      </c>
      <c r="Z14" s="230">
        <f>'Company Scorecard'!AF33</f>
        <v>6.0240963855421686E-2</v>
      </c>
      <c r="AA14" s="15">
        <f>'Company Scorecard'!AG33</f>
        <v>0.1038961038961039</v>
      </c>
      <c r="AB14" s="15">
        <f>'Company Scorecard'!AH33</f>
        <v>0.12676056338028169</v>
      </c>
      <c r="AC14" s="15">
        <f>'Company Scorecard'!AI33</f>
        <v>0.11594202898550725</v>
      </c>
      <c r="AD14" s="161">
        <f>'Company Scorecard'!AJ33</f>
        <v>1</v>
      </c>
      <c r="AE14" s="15">
        <f>'Company Scorecard'!AK33</f>
        <v>9.2307692307692313E-2</v>
      </c>
      <c r="AF14" s="15">
        <f>'Company Scorecard'!AL33</f>
        <v>0.15625</v>
      </c>
      <c r="AG14" s="15">
        <f>'Company Scorecard'!AM33</f>
        <v>6.3492063492063489E-2</v>
      </c>
      <c r="AH14" s="15">
        <f>'Company Scorecard'!AN33</f>
        <v>0.13114754098360656</v>
      </c>
      <c r="AI14" s="15">
        <f>'Company Scorecard'!AO33</f>
        <v>5.1724137931034482E-2</v>
      </c>
      <c r="AJ14" s="161">
        <f>'Company Scorecard'!AP33</f>
        <v>0.92900000000000005</v>
      </c>
      <c r="AK14" s="15">
        <f>'Company Scorecard'!AQ33</f>
        <v>0.12727272727272726</v>
      </c>
      <c r="AL14" s="15">
        <f>'Company Scorecard'!AR33</f>
        <v>9.4339622641509441E-2</v>
      </c>
      <c r="AM14" s="15">
        <f>'Company Scorecard'!AS33</f>
        <v>9.4339622641509441E-2</v>
      </c>
      <c r="AN14" s="15">
        <f>'Company Scorecard'!AT33</f>
        <v>9.6153846153846159E-2</v>
      </c>
      <c r="AO14" s="161">
        <f>'Company Scorecard'!AU33</f>
        <v>0.9</v>
      </c>
      <c r="AP14" s="15">
        <f>'Company Scorecard'!AV33</f>
        <v>0.15094339622641509</v>
      </c>
      <c r="AQ14" s="15">
        <f>'Company Scorecard'!AW33</f>
        <v>0.11764705882352941</v>
      </c>
      <c r="AR14" s="15">
        <f>'Company Scorecard'!AX33</f>
        <v>8.3333333333333329E-2</v>
      </c>
      <c r="AS14" s="15">
        <f>'Company Scorecard'!AY33</f>
        <v>8.3333333333333329E-2</v>
      </c>
      <c r="AT14" s="161">
        <f>'Company Scorecard'!AZ33</f>
        <v>0.60599999999999998</v>
      </c>
      <c r="AU14" s="15">
        <f>'Company Scorecard'!BA33</f>
        <v>3.5087719298245612E-2</v>
      </c>
      <c r="AV14" s="15">
        <f>'Company Scorecard'!BB33</f>
        <v>2.7777777777777776E-2</v>
      </c>
      <c r="AW14" s="15">
        <f>'Company Scorecard'!BC33</f>
        <v>3.614457831325301E-2</v>
      </c>
      <c r="AX14" s="15">
        <f>'Company Scorecard'!BD33</f>
        <v>4.3478260869565216E-2</v>
      </c>
      <c r="AY14" s="15">
        <f>'Company Scorecard'!BE33</f>
        <v>2.8037383177570093E-2</v>
      </c>
      <c r="AZ14" s="161">
        <f>'Company Scorecard'!BF33</f>
        <v>0.14000000000000001</v>
      </c>
      <c r="BA14" s="15">
        <f>'Company Scorecard'!BG33</f>
        <v>6.7796610169491525E-2</v>
      </c>
      <c r="BB14" s="15">
        <f>'Company Scorecard'!BH33</f>
        <v>1.4705882352941176E-2</v>
      </c>
      <c r="BC14" s="15">
        <f>'Company Scorecard'!BI33</f>
        <v>5.4054054054054057E-2</v>
      </c>
      <c r="BD14" s="15">
        <f>'Company Scorecard'!BJ33</f>
        <v>2.5806451612903226E-2</v>
      </c>
      <c r="BE14" s="161">
        <f>'Company Scorecard'!BK33</f>
        <v>0.19600000000000001</v>
      </c>
      <c r="BF14" s="15">
        <f>'Company Scorecard'!BL33</f>
        <v>6.25E-2</v>
      </c>
      <c r="BG14" s="15">
        <f>'Company Scorecard'!BM33</f>
        <v>4.3010752688172046E-2</v>
      </c>
      <c r="BH14" s="15">
        <f>'Company Scorecard'!BN33</f>
        <v>5.185185185185185E-2</v>
      </c>
      <c r="BI14" s="15">
        <f>'Company Scorecard'!BO33</f>
        <v>7.662835249042145E-2</v>
      </c>
      <c r="BJ14" s="15">
        <f>'Company Scorecard'!BP33</f>
        <v>4.0322580645161289E-2</v>
      </c>
      <c r="BK14" s="161">
        <f>'Company Scorecard'!BQ33</f>
        <v>0.47799999999999998</v>
      </c>
      <c r="BL14" s="15">
        <f>'Company Scorecard'!BR33</f>
        <v>6.7510548523206745E-2</v>
      </c>
      <c r="BM14" s="15">
        <f>'Company Scorecard'!BS33</f>
        <v>9.012875536480687E-2</v>
      </c>
      <c r="BN14" s="15">
        <f>'Company Scorecard'!BT33</f>
        <v>8.6206896551724144E-2</v>
      </c>
      <c r="BO14" s="15">
        <f>'Company Scorecard'!BU33</f>
        <v>6.7510548523206745E-2</v>
      </c>
      <c r="BP14" s="161">
        <f>'Company Scorecard'!BV33</f>
        <v>0.45300000000000001</v>
      </c>
      <c r="BQ14" s="161">
        <f>'Company Scorecard'!BW33</f>
        <v>5.2845528455284556E-2</v>
      </c>
      <c r="BR14" s="161">
        <f>'Company Scorecard'!BX33</f>
        <v>5.1999999999999998E-2</v>
      </c>
      <c r="BS14" s="161">
        <f>'Company Scorecard'!BY33</f>
        <v>6.2992125984251968E-2</v>
      </c>
      <c r="BT14" s="161">
        <f>'Company Scorecard'!BZ33</f>
        <v>4.6692607003891051E-2</v>
      </c>
      <c r="BU14" s="161">
        <f>'Company Scorecard'!CA33</f>
        <v>0.376</v>
      </c>
      <c r="BV14" s="161">
        <f>'Company Scorecard'!CB33</f>
        <v>3.9215686274509803E-2</v>
      </c>
      <c r="BW14" s="161">
        <f>'Company Scorecard'!CC33</f>
        <v>5.8365758754863814E-2</v>
      </c>
      <c r="BX14" s="161">
        <f>'Company Scorecard'!CD33</f>
        <v>8.984375E-2</v>
      </c>
      <c r="BY14" s="161">
        <f>'Company Scorecard'!CE33</f>
        <v>6.8548387096774188E-2</v>
      </c>
      <c r="BZ14" s="356">
        <f>'Company Scorecard'!CF33</f>
        <v>0.45200000000000001</v>
      </c>
      <c r="CA14" s="161">
        <f>'Company Scorecard'!CG33</f>
        <v>6.5306122448979598E-2</v>
      </c>
      <c r="CB14" s="161">
        <f>'Company Scorecard'!CH33</f>
        <v>8.2987551867219914E-2</v>
      </c>
      <c r="CC14" s="161">
        <f>'Company Scorecard'!CI33</f>
        <v>4.6218487394957986E-2</v>
      </c>
      <c r="CD14" s="161">
        <f>'Company Scorecard'!CJ33</f>
        <v>6.7226890756302518E-2</v>
      </c>
      <c r="CE14" s="161">
        <f>'Company Scorecard'!CK33</f>
        <v>5.6000000000000001E-2</v>
      </c>
      <c r="CF14" s="161">
        <f>'Company Scorecard'!CL33</f>
        <v>0.44700000000000001</v>
      </c>
    </row>
    <row r="15" spans="1:84" s="15" customFormat="1">
      <c r="C15" s="60" t="s">
        <v>283</v>
      </c>
      <c r="D15" s="15" t="s">
        <v>68</v>
      </c>
      <c r="E15" s="15">
        <f>'Company Scorecard'!K34</f>
        <v>3.5398230088495575E-2</v>
      </c>
      <c r="F15" s="15">
        <f>'Company Scorecard'!L34</f>
        <v>8.0357142857142863E-2</v>
      </c>
      <c r="G15" s="15">
        <f>'Company Scorecard'!M34</f>
        <v>7.0796460176991149E-2</v>
      </c>
      <c r="H15" s="15">
        <f>'Company Scorecard'!N34</f>
        <v>5.2173913043478258E-2</v>
      </c>
      <c r="I15" s="161"/>
      <c r="J15" s="15">
        <f>'Company Scorecard'!P34</f>
        <v>6.25E-2</v>
      </c>
      <c r="K15" s="15">
        <f>'Company Scorecard'!Q34</f>
        <v>7.8260869565217397E-2</v>
      </c>
      <c r="L15" s="15">
        <f>'Company Scorecard'!R34</f>
        <v>5.0847457627118647E-2</v>
      </c>
      <c r="M15" s="15">
        <f>'Company Scorecard'!S34</f>
        <v>7.8260869565217397E-2</v>
      </c>
      <c r="N15" s="161"/>
      <c r="O15" s="15">
        <f>'Company Scorecard'!U34</f>
        <v>5.737704918032787E-2</v>
      </c>
      <c r="P15" s="15">
        <f>'Company Scorecard'!V34</f>
        <v>6.1151079136690649E-2</v>
      </c>
      <c r="Q15" s="15">
        <f>'Company Scorecard'!W34</f>
        <v>1.0600706713780919E-2</v>
      </c>
      <c r="R15" s="15">
        <f>'Company Scorecard'!X34</f>
        <v>3.484320557491289E-2</v>
      </c>
      <c r="S15" s="15">
        <f>'Company Scorecard'!Y34</f>
        <v>1.3422818791946308E-2</v>
      </c>
      <c r="T15" s="161">
        <f>'Company Scorecard'!Z34</f>
        <v>0.24099999999999999</v>
      </c>
      <c r="U15" s="15">
        <f>'Company Scorecard'!AA34</f>
        <v>2.7472527472527472E-2</v>
      </c>
      <c r="V15" s="15">
        <f>'Company Scorecard'!AB34</f>
        <v>4.736842105263158E-2</v>
      </c>
      <c r="W15" s="15">
        <f>'Company Scorecard'!AC34</f>
        <v>5.1546391752577317E-2</v>
      </c>
      <c r="X15" s="15">
        <f>'Company Scorecard'!AD34</f>
        <v>5.0505050505050504E-2</v>
      </c>
      <c r="Y15" s="232">
        <f>'Company Scorecard'!AE34</f>
        <v>0.31900000000000001</v>
      </c>
      <c r="Z15" s="230">
        <f>'Company Scorecard'!AF34</f>
        <v>0.10309278350515463</v>
      </c>
      <c r="AA15" s="15">
        <f>'Company Scorecard'!AG34</f>
        <v>6.3157894736842107E-2</v>
      </c>
      <c r="AB15" s="15">
        <f>'Company Scorecard'!AH34</f>
        <v>7.2916666666666671E-2</v>
      </c>
      <c r="AC15" s="15">
        <f>'Company Scorecard'!AI34</f>
        <v>6.5000000000000002E-2</v>
      </c>
      <c r="AD15" s="161">
        <f>'Company Scorecard'!AJ34</f>
        <v>0.44700000000000001</v>
      </c>
      <c r="AE15" s="15">
        <f>'Company Scorecard'!AK34</f>
        <v>4.6728971962616821E-2</v>
      </c>
      <c r="AF15" s="15">
        <f>'Company Scorecard'!AL34</f>
        <v>6.5116279069767441E-2</v>
      </c>
      <c r="AG15" s="15">
        <f>'Company Scorecard'!AM34</f>
        <v>6.3063063063063057E-2</v>
      </c>
      <c r="AH15" s="15">
        <f>'Company Scorecard'!AN34</f>
        <v>7.9646017699115043E-2</v>
      </c>
      <c r="AI15" s="15">
        <f>'Company Scorecard'!AO34</f>
        <v>8.2608695652173908E-2</v>
      </c>
      <c r="AJ15" s="161">
        <f>'Company Scorecard'!AP34</f>
        <v>0.51900000000000002</v>
      </c>
      <c r="AK15" s="15">
        <f>'Company Scorecard'!AQ34</f>
        <v>8.8983050847457626E-2</v>
      </c>
      <c r="AL15" s="15">
        <f>'Company Scorecard'!AR34</f>
        <v>5.5319148936170209E-2</v>
      </c>
      <c r="AM15" s="15">
        <f>'Company Scorecard'!AS34</f>
        <v>6.9868995633187769E-2</v>
      </c>
      <c r="AN15" s="15">
        <f>'Company Scorecard'!AT34</f>
        <v>9.0090090090090086E-2</v>
      </c>
      <c r="AO15" s="161">
        <f>'Company Scorecard'!AU34</f>
        <v>0.55200000000000005</v>
      </c>
      <c r="AP15" s="15">
        <f>'Company Scorecard'!AV34</f>
        <v>4.1474654377880185E-2</v>
      </c>
      <c r="AQ15" s="15">
        <f>'Company Scorecard'!AW34</f>
        <v>6.8493150684931503E-2</v>
      </c>
      <c r="AR15" s="15">
        <f>'Company Scorecard'!AX34</f>
        <v>6.2780269058295965E-2</v>
      </c>
      <c r="AS15" s="15">
        <f>'Company Scorecard'!AY34</f>
        <v>7.3732718894009217E-2</v>
      </c>
      <c r="AT15" s="161">
        <f>'Company Scorecard'!AZ34</f>
        <v>0.51400000000000001</v>
      </c>
      <c r="AU15" s="15">
        <f>'Company Scorecard'!BA34</f>
        <v>9.2233009708737865E-2</v>
      </c>
      <c r="AV15" s="15">
        <f>'Company Scorecard'!BB34</f>
        <v>6.9518716577540107E-2</v>
      </c>
      <c r="AW15" s="15">
        <f>'Company Scorecard'!BC34</f>
        <v>9.7142857142857142E-2</v>
      </c>
      <c r="AX15" s="15">
        <f>'Company Scorecard'!BD34</f>
        <v>9.4117647058823528E-2</v>
      </c>
      <c r="AY15" s="15">
        <f>'Company Scorecard'!BE34</f>
        <v>9.3167701863354033E-2</v>
      </c>
      <c r="AZ15" s="161">
        <f>'Company Scorecard'!BF34</f>
        <v>0.83</v>
      </c>
      <c r="BA15" s="15">
        <f>'Company Scorecard'!BG34</f>
        <v>9.0322580645161285E-2</v>
      </c>
      <c r="BB15" s="15">
        <f>'Company Scorecard'!BH34</f>
        <v>0.1095890410958904</v>
      </c>
      <c r="BC15" s="15">
        <f>'Company Scorecard'!BI34</f>
        <v>0.11428571428571428</v>
      </c>
      <c r="BD15" s="15">
        <f>'Company Scorecard'!BJ34</f>
        <v>9.0909090909090912E-2</v>
      </c>
      <c r="BE15" s="161">
        <f>'Company Scorecard'!BK34</f>
        <v>0.93799999999999994</v>
      </c>
      <c r="BF15" s="15">
        <f>'Company Scorecard'!BL34</f>
        <v>0</v>
      </c>
      <c r="BG15" s="15">
        <f>'Company Scorecard'!BM34</f>
        <v>0</v>
      </c>
      <c r="BH15" s="15">
        <f>'Company Scorecard'!BN34</f>
        <v>0</v>
      </c>
      <c r="BI15" s="15">
        <f>'Company Scorecard'!BO34</f>
        <v>0</v>
      </c>
      <c r="BJ15" s="15">
        <f>'Company Scorecard'!BP34</f>
        <v>0</v>
      </c>
      <c r="BK15" s="161">
        <f>'Company Scorecard'!BQ34</f>
        <v>0</v>
      </c>
      <c r="BL15" s="15">
        <f>'Company Scorecard'!BR34</f>
        <v>0</v>
      </c>
      <c r="BM15" s="15">
        <f>'Company Scorecard'!BS34</f>
        <v>0</v>
      </c>
      <c r="BN15" s="15">
        <f>'Company Scorecard'!BT34</f>
        <v>0</v>
      </c>
      <c r="BO15" s="15">
        <f>'Company Scorecard'!BU34</f>
        <v>0</v>
      </c>
      <c r="BP15" s="161">
        <f>'Company Scorecard'!BV34</f>
        <v>0</v>
      </c>
      <c r="BQ15" s="161">
        <f>'Company Scorecard'!BW34</f>
        <v>0</v>
      </c>
      <c r="BR15" s="161">
        <f>'Company Scorecard'!BX34</f>
        <v>0</v>
      </c>
      <c r="BS15" s="161">
        <f>'Company Scorecard'!BY34</f>
        <v>0</v>
      </c>
      <c r="BT15" s="161">
        <f>'Company Scorecard'!BZ34</f>
        <v>0</v>
      </c>
      <c r="BU15" s="161">
        <f>'Company Scorecard'!CA34</f>
        <v>0</v>
      </c>
      <c r="BV15" s="161">
        <f>'Company Scorecard'!CB34</f>
        <v>0</v>
      </c>
      <c r="BW15" s="161">
        <f>'Company Scorecard'!CC34</f>
        <v>0</v>
      </c>
      <c r="BX15" s="161">
        <f>'Company Scorecard'!CD34</f>
        <v>0</v>
      </c>
      <c r="BY15" s="161">
        <f>'Company Scorecard'!CE34</f>
        <v>0</v>
      </c>
      <c r="BZ15" s="356">
        <f>'Company Scorecard'!CF34</f>
        <v>0</v>
      </c>
      <c r="CA15" s="161">
        <f>'Company Scorecard'!CG34</f>
        <v>0</v>
      </c>
      <c r="CB15" s="161">
        <f>'Company Scorecard'!CH34</f>
        <v>0</v>
      </c>
      <c r="CC15" s="161">
        <f>'Company Scorecard'!CI34</f>
        <v>0</v>
      </c>
      <c r="CD15" s="161">
        <f>'Company Scorecard'!CJ34</f>
        <v>0</v>
      </c>
      <c r="CE15" s="161">
        <f>'Company Scorecard'!CK34</f>
        <v>0</v>
      </c>
      <c r="CF15" s="161">
        <f>'Company Scorecard'!CL34</f>
        <v>0</v>
      </c>
    </row>
    <row r="16" spans="1:84" s="11" customFormat="1">
      <c r="A16" s="10" t="s">
        <v>284</v>
      </c>
      <c r="B16" s="10"/>
      <c r="C16" s="54" t="s">
        <v>2</v>
      </c>
      <c r="I16" s="153"/>
      <c r="N16" s="153"/>
      <c r="T16" s="153"/>
      <c r="Y16" s="229"/>
      <c r="Z16" s="229"/>
      <c r="AD16" s="153"/>
      <c r="AE16" s="229"/>
      <c r="AJ16" s="153"/>
      <c r="AO16" s="153"/>
      <c r="AT16" s="153"/>
      <c r="AZ16" s="153"/>
      <c r="BE16" s="153"/>
      <c r="BK16" s="153"/>
      <c r="BP16" s="153"/>
      <c r="BQ16" s="153"/>
      <c r="BR16" s="153"/>
      <c r="BS16" s="153"/>
      <c r="BT16" s="153"/>
      <c r="BU16" s="153"/>
      <c r="BV16" s="153"/>
      <c r="BW16" s="153"/>
      <c r="BX16" s="153"/>
      <c r="BY16" s="153"/>
      <c r="BZ16" s="153"/>
      <c r="CA16" s="153"/>
      <c r="CB16" s="153"/>
      <c r="CC16" s="153"/>
      <c r="CD16" s="153"/>
      <c r="CE16" s="153"/>
      <c r="CF16" s="153"/>
    </row>
    <row r="17" spans="1:84">
      <c r="D17" t="s">
        <v>67</v>
      </c>
      <c r="E17">
        <f>'Company Scorecard'!K36</f>
        <v>10</v>
      </c>
      <c r="F17">
        <f>'Company Scorecard'!L36</f>
        <v>8</v>
      </c>
      <c r="G17">
        <f>'Company Scorecard'!M36</f>
        <v>9</v>
      </c>
      <c r="H17">
        <f>'Company Scorecard'!N36</f>
        <v>8</v>
      </c>
      <c r="I17" s="154"/>
      <c r="J17">
        <f>'Company Scorecard'!P36</f>
        <v>8</v>
      </c>
      <c r="K17">
        <f>'Company Scorecard'!Q36</f>
        <v>9</v>
      </c>
      <c r="L17">
        <f>'Company Scorecard'!R36</f>
        <v>5</v>
      </c>
      <c r="M17">
        <f>'Company Scorecard'!S36</f>
        <v>9</v>
      </c>
      <c r="N17" s="154"/>
      <c r="O17">
        <f>'Company Scorecard'!U36</f>
        <v>13</v>
      </c>
      <c r="P17">
        <f>'Company Scorecard'!V36</f>
        <v>8</v>
      </c>
      <c r="Q17">
        <f>'Company Scorecard'!W36</f>
        <v>8</v>
      </c>
      <c r="R17">
        <f>'Company Scorecard'!X36</f>
        <v>6</v>
      </c>
      <c r="S17">
        <f>'Company Scorecard'!Y36</f>
        <v>10</v>
      </c>
      <c r="T17" s="154">
        <f>'Company Scorecard'!Z36</f>
        <v>39</v>
      </c>
      <c r="U17">
        <f>'Company Scorecard'!AA36</f>
        <v>9</v>
      </c>
      <c r="V17">
        <f>'Company Scorecard'!AB36</f>
        <v>6</v>
      </c>
      <c r="W17">
        <f>'Company Scorecard'!AC36</f>
        <v>7</v>
      </c>
      <c r="X17">
        <f>'Company Scorecard'!AD36</f>
        <v>7</v>
      </c>
      <c r="Y17" s="227">
        <f>'Company Scorecard'!AE36</f>
        <v>32</v>
      </c>
      <c r="Z17" s="227">
        <f>'Company Scorecard'!AF36</f>
        <v>3</v>
      </c>
      <c r="AA17">
        <f>'Company Scorecard'!AG36</f>
        <v>7</v>
      </c>
      <c r="AB17">
        <f>'Company Scorecard'!AH36</f>
        <v>2</v>
      </c>
      <c r="AC17">
        <f>'Company Scorecard'!AI36</f>
        <v>3</v>
      </c>
      <c r="AD17" s="154">
        <f>'Company Scorecard'!AJ36</f>
        <v>18</v>
      </c>
      <c r="AE17">
        <f>'Company Scorecard'!AK36</f>
        <v>2</v>
      </c>
      <c r="AF17">
        <f>'Company Scorecard'!AL36</f>
        <v>1</v>
      </c>
      <c r="AG17">
        <f>'Company Scorecard'!AM36</f>
        <v>2</v>
      </c>
      <c r="AH17">
        <f>'Company Scorecard'!AN36</f>
        <v>3</v>
      </c>
      <c r="AI17">
        <f>'Company Scorecard'!AO36</f>
        <v>4</v>
      </c>
      <c r="AJ17" s="154">
        <f>'Company Scorecard'!AP36</f>
        <v>9</v>
      </c>
      <c r="AK17">
        <f>'Company Scorecard'!AQ36</f>
        <v>0</v>
      </c>
      <c r="AL17">
        <f>'Company Scorecard'!AR36</f>
        <v>2</v>
      </c>
      <c r="AM17">
        <f>'Company Scorecard'!AS36</f>
        <v>2</v>
      </c>
      <c r="AN17">
        <f>'Company Scorecard'!AT36</f>
        <v>1</v>
      </c>
      <c r="AO17" s="154">
        <f>'Company Scorecard'!AU36</f>
        <v>7</v>
      </c>
      <c r="AP17">
        <f>'Company Scorecard'!AV36</f>
        <v>3</v>
      </c>
      <c r="AQ17">
        <f>'Company Scorecard'!AW36</f>
        <v>3</v>
      </c>
      <c r="AR17">
        <f>'Company Scorecard'!AX36</f>
        <v>3</v>
      </c>
      <c r="AS17">
        <f>'Company Scorecard'!AY36</f>
        <v>3</v>
      </c>
      <c r="AT17" s="154">
        <f>'Company Scorecard'!AZ36</f>
        <v>13</v>
      </c>
      <c r="AU17">
        <f>'Company Scorecard'!BA36</f>
        <v>3</v>
      </c>
      <c r="AV17">
        <f>'Company Scorecard'!BB36</f>
        <v>4</v>
      </c>
      <c r="AW17">
        <f>'Company Scorecard'!BC36</f>
        <v>1</v>
      </c>
      <c r="AX17">
        <f>'Company Scorecard'!BD36</f>
        <v>3</v>
      </c>
      <c r="AY17">
        <f>'Company Scorecard'!BE36</f>
        <v>9</v>
      </c>
      <c r="AZ17" s="154">
        <f>'Company Scorecard'!BF36</f>
        <v>19</v>
      </c>
      <c r="BA17">
        <f>'Company Scorecard'!BG36</f>
        <v>8</v>
      </c>
      <c r="BB17">
        <f>'Company Scorecard'!BH36</f>
        <v>4</v>
      </c>
      <c r="BC17">
        <f>'Company Scorecard'!BI36</f>
        <v>12</v>
      </c>
      <c r="BD17">
        <f>'Company Scorecard'!BJ36</f>
        <v>8</v>
      </c>
      <c r="BE17" s="154">
        <f>'Company Scorecard'!BK36</f>
        <v>34</v>
      </c>
      <c r="BF17">
        <f>'Company Scorecard'!BL36</f>
        <v>18</v>
      </c>
      <c r="BG17">
        <f>'Company Scorecard'!BM36</f>
        <v>10</v>
      </c>
      <c r="BH17">
        <f>'Company Scorecard'!BN36</f>
        <v>18</v>
      </c>
      <c r="BI17">
        <f>'Company Scorecard'!BO36</f>
        <v>10</v>
      </c>
      <c r="BJ17">
        <f>'Company Scorecard'!BP36</f>
        <v>16</v>
      </c>
      <c r="BK17" s="154">
        <f>'Company Scorecard'!BQ36</f>
        <v>69</v>
      </c>
      <c r="BL17">
        <f>'Company Scorecard'!BR36</f>
        <v>15</v>
      </c>
      <c r="BM17">
        <f>'Company Scorecard'!BS36</f>
        <v>13</v>
      </c>
      <c r="BN17">
        <f>'Company Scorecard'!BT36</f>
        <v>8</v>
      </c>
      <c r="BO17">
        <f>'Company Scorecard'!BU36</f>
        <v>10</v>
      </c>
      <c r="BP17" s="154">
        <f>'Company Scorecard'!BV36</f>
        <v>49</v>
      </c>
      <c r="BQ17" s="154">
        <f>'Company Scorecard'!BW36</f>
        <v>11</v>
      </c>
      <c r="BR17" s="154">
        <f>'Company Scorecard'!BX36</f>
        <v>15</v>
      </c>
      <c r="BS17" s="154">
        <f>'Company Scorecard'!BY36</f>
        <v>8</v>
      </c>
      <c r="BT17" s="154">
        <f>'Company Scorecard'!BZ36</f>
        <v>7</v>
      </c>
      <c r="BU17" s="154">
        <f>'Company Scorecard'!CA36</f>
        <v>41</v>
      </c>
      <c r="BV17" s="154">
        <f>'Company Scorecard'!CB36</f>
        <v>13</v>
      </c>
      <c r="BW17" s="154">
        <f>'Company Scorecard'!CC36</f>
        <v>18</v>
      </c>
      <c r="BX17" s="154">
        <f>'Company Scorecard'!CD36</f>
        <v>11</v>
      </c>
      <c r="BY17" s="154">
        <f>'Company Scorecard'!CE36</f>
        <v>12</v>
      </c>
      <c r="BZ17" s="154">
        <f>'Company Scorecard'!CF36</f>
        <v>54</v>
      </c>
      <c r="CA17" s="154">
        <f>'Company Scorecard'!CG36</f>
        <v>7</v>
      </c>
      <c r="CB17" s="154">
        <f>'Company Scorecard'!CH36</f>
        <v>6</v>
      </c>
      <c r="CC17" s="154">
        <f>'Company Scorecard'!CI36</f>
        <v>3</v>
      </c>
      <c r="CD17" s="154">
        <f>'Company Scorecard'!CJ36</f>
        <v>5</v>
      </c>
      <c r="CE17" s="154">
        <f>'Company Scorecard'!CK36</f>
        <v>3</v>
      </c>
      <c r="CF17" s="154">
        <f>'Company Scorecard'!CL36</f>
        <v>18</v>
      </c>
    </row>
    <row r="18" spans="1:84">
      <c r="D18" t="s">
        <v>68</v>
      </c>
      <c r="E18">
        <f>'Company Scorecard'!K37</f>
        <v>14</v>
      </c>
      <c r="F18">
        <f>'Company Scorecard'!L37</f>
        <v>9</v>
      </c>
      <c r="G18">
        <f>'Company Scorecard'!M37</f>
        <v>12</v>
      </c>
      <c r="H18">
        <f>'Company Scorecard'!N37</f>
        <v>8</v>
      </c>
      <c r="I18" s="154"/>
      <c r="J18">
        <f>'Company Scorecard'!P37</f>
        <v>8</v>
      </c>
      <c r="K18">
        <f>'Company Scorecard'!Q37</f>
        <v>4</v>
      </c>
      <c r="L18">
        <f>'Company Scorecard'!R37</f>
        <v>8</v>
      </c>
      <c r="M18">
        <f>'Company Scorecard'!S37</f>
        <v>9</v>
      </c>
      <c r="N18" s="154"/>
      <c r="O18">
        <f>'Company Scorecard'!U37</f>
        <v>11</v>
      </c>
      <c r="P18">
        <f>'Company Scorecard'!V37</f>
        <v>10</v>
      </c>
      <c r="Q18">
        <f>'Company Scorecard'!W37</f>
        <v>8</v>
      </c>
      <c r="R18">
        <f>'Company Scorecard'!X37</f>
        <v>8</v>
      </c>
      <c r="S18">
        <f>'Company Scorecard'!Y37</f>
        <v>8</v>
      </c>
      <c r="T18" s="154">
        <f>'Company Scorecard'!Z37</f>
        <v>40</v>
      </c>
      <c r="U18">
        <f>'Company Scorecard'!AA37</f>
        <v>11</v>
      </c>
      <c r="V18">
        <f>'Company Scorecard'!AB37</f>
        <v>14</v>
      </c>
      <c r="W18">
        <f>'Company Scorecard'!AC37</f>
        <v>15</v>
      </c>
      <c r="X18">
        <f>'Company Scorecard'!AD37</f>
        <v>9</v>
      </c>
      <c r="Y18" s="227">
        <f>'Company Scorecard'!AE37</f>
        <v>53</v>
      </c>
      <c r="Z18" s="227">
        <f>'Company Scorecard'!AF37</f>
        <v>22</v>
      </c>
      <c r="AA18">
        <f>'Company Scorecard'!AG37</f>
        <v>12</v>
      </c>
      <c r="AB18">
        <f>'Company Scorecard'!AH37</f>
        <v>17</v>
      </c>
      <c r="AC18">
        <f>'Company Scorecard'!AI37</f>
        <v>7</v>
      </c>
      <c r="AD18" s="154">
        <f>'Company Scorecard'!AJ37</f>
        <v>67</v>
      </c>
      <c r="AE18">
        <f>'Company Scorecard'!AK37</f>
        <v>8</v>
      </c>
      <c r="AF18">
        <f>'Company Scorecard'!AL37</f>
        <v>5</v>
      </c>
      <c r="AG18">
        <f>'Company Scorecard'!AM37</f>
        <v>13</v>
      </c>
      <c r="AH18">
        <f>'Company Scorecard'!AN37</f>
        <v>7</v>
      </c>
      <c r="AI18">
        <f>'Company Scorecard'!AO37</f>
        <v>11</v>
      </c>
      <c r="AJ18" s="154">
        <f>'Company Scorecard'!AP37</f>
        <v>42</v>
      </c>
      <c r="AK18">
        <f>'Company Scorecard'!AQ37</f>
        <v>12</v>
      </c>
      <c r="AL18">
        <f>'Company Scorecard'!AR37</f>
        <v>20</v>
      </c>
      <c r="AM18">
        <f>'Company Scorecard'!AS37</f>
        <v>17</v>
      </c>
      <c r="AN18">
        <f>'Company Scorecard'!AT37</f>
        <v>16</v>
      </c>
      <c r="AO18" s="154">
        <f>'Company Scorecard'!AU37</f>
        <v>64</v>
      </c>
      <c r="AP18">
        <f>'Company Scorecard'!AV37</f>
        <v>17</v>
      </c>
      <c r="AQ18">
        <f>'Company Scorecard'!AW37</f>
        <v>9</v>
      </c>
      <c r="AR18">
        <f>'Company Scorecard'!AX37</f>
        <v>15</v>
      </c>
      <c r="AS18">
        <f>'Company Scorecard'!AY37</f>
        <v>11</v>
      </c>
      <c r="AT18" s="154">
        <f>'Company Scorecard'!AZ37</f>
        <v>54</v>
      </c>
      <c r="AU18">
        <f>'Company Scorecard'!BA37</f>
        <v>19</v>
      </c>
      <c r="AV18">
        <f>'Company Scorecard'!BB37</f>
        <v>19</v>
      </c>
      <c r="AW18">
        <f>'Company Scorecard'!BC37</f>
        <v>10</v>
      </c>
      <c r="AX18">
        <f>'Company Scorecard'!BD37</f>
        <v>10</v>
      </c>
      <c r="AY18">
        <f>'Company Scorecard'!BE37</f>
        <v>12</v>
      </c>
      <c r="AZ18" s="154">
        <f>'Company Scorecard'!BF37</f>
        <v>64</v>
      </c>
      <c r="BA18">
        <f>'Company Scorecard'!BG37</f>
        <v>8</v>
      </c>
      <c r="BB18">
        <f>'Company Scorecard'!BH37</f>
        <v>4</v>
      </c>
      <c r="BC18">
        <f>'Company Scorecard'!BI37</f>
        <v>6</v>
      </c>
      <c r="BD18">
        <f>'Company Scorecard'!BJ37</f>
        <v>4</v>
      </c>
      <c r="BE18" s="154">
        <f>'Company Scorecard'!BK37</f>
        <v>24</v>
      </c>
      <c r="BF18">
        <f>'Company Scorecard'!BL37</f>
        <v>7</v>
      </c>
      <c r="BG18">
        <f>'Company Scorecard'!BM37</f>
        <v>15</v>
      </c>
      <c r="BH18">
        <f>'Company Scorecard'!BN37</f>
        <v>6</v>
      </c>
      <c r="BI18">
        <f>'Company Scorecard'!BO37</f>
        <v>10</v>
      </c>
      <c r="BJ18">
        <f>'Company Scorecard'!BP37</f>
        <v>9</v>
      </c>
      <c r="BK18" s="154">
        <f>'Company Scorecard'!BQ37</f>
        <v>40</v>
      </c>
      <c r="BL18">
        <f>'Company Scorecard'!BR37</f>
        <v>12</v>
      </c>
      <c r="BM18">
        <f>'Company Scorecard'!BS37</f>
        <v>10</v>
      </c>
      <c r="BN18">
        <f>'Company Scorecard'!BT37</f>
        <v>6</v>
      </c>
      <c r="BO18">
        <f>'Company Scorecard'!BU37</f>
        <v>5</v>
      </c>
      <c r="BP18" s="154">
        <f>'Company Scorecard'!BV37</f>
        <v>35</v>
      </c>
      <c r="BQ18" s="154">
        <f>'Company Scorecard'!BW37</f>
        <v>6</v>
      </c>
      <c r="BR18" s="154">
        <f>'Company Scorecard'!BX37</f>
        <v>3</v>
      </c>
      <c r="BS18" s="154">
        <f>'Company Scorecard'!BY37</f>
        <v>4</v>
      </c>
      <c r="BT18" s="154">
        <f>'Company Scorecard'!BZ37</f>
        <v>10</v>
      </c>
      <c r="BU18" s="154">
        <f>'Company Scorecard'!CA37</f>
        <v>23</v>
      </c>
      <c r="BV18" s="154">
        <f>'Company Scorecard'!CB37</f>
        <v>8</v>
      </c>
      <c r="BW18" s="154">
        <f>'Company Scorecard'!CC37</f>
        <v>6</v>
      </c>
      <c r="BX18" s="154">
        <f>'Company Scorecard'!CD37</f>
        <v>11</v>
      </c>
      <c r="BY18" s="154">
        <f>'Company Scorecard'!CE37</f>
        <v>11</v>
      </c>
      <c r="BZ18" s="154">
        <f>'Company Scorecard'!CF37</f>
        <v>36</v>
      </c>
      <c r="CA18" s="154">
        <f>'Company Scorecard'!CG37</f>
        <v>12</v>
      </c>
      <c r="CB18" s="154">
        <f>'Company Scorecard'!CH37</f>
        <v>15</v>
      </c>
      <c r="CC18" s="154">
        <f>'Company Scorecard'!CI37</f>
        <v>18</v>
      </c>
      <c r="CD18" s="154">
        <f>'Company Scorecard'!CJ37</f>
        <v>7</v>
      </c>
      <c r="CE18" s="154">
        <f>'Company Scorecard'!CK37</f>
        <v>8</v>
      </c>
      <c r="CF18" s="154">
        <f>'Company Scorecard'!CL37</f>
        <v>54</v>
      </c>
    </row>
    <row r="19" spans="1:84" s="11" customFormat="1">
      <c r="A19" s="10" t="s">
        <v>103</v>
      </c>
      <c r="B19" s="10"/>
      <c r="C19" s="54" t="s">
        <v>2</v>
      </c>
      <c r="I19" s="153"/>
      <c r="N19" s="153"/>
      <c r="T19" s="153"/>
      <c r="Y19" s="229"/>
      <c r="Z19" s="229"/>
      <c r="AD19" s="153"/>
      <c r="AE19" s="229"/>
      <c r="AJ19" s="153"/>
      <c r="AO19" s="153"/>
      <c r="AT19" s="153"/>
      <c r="AZ19" s="153"/>
      <c r="BE19" s="153"/>
      <c r="BK19" s="153"/>
      <c r="BP19" s="153"/>
      <c r="BQ19" s="153"/>
      <c r="BR19" s="153"/>
      <c r="BS19" s="153"/>
      <c r="BT19" s="153"/>
      <c r="BU19" s="153"/>
      <c r="BV19" s="153"/>
      <c r="BW19" s="153"/>
      <c r="BX19" s="153"/>
      <c r="BY19" s="153"/>
      <c r="BZ19" s="153"/>
      <c r="CA19" s="153"/>
      <c r="CB19" s="153"/>
      <c r="CC19" s="153"/>
      <c r="CD19" s="153"/>
      <c r="CE19" s="153"/>
      <c r="CF19" s="153"/>
    </row>
    <row r="20" spans="1:84" s="15" customFormat="1">
      <c r="C20" s="350" t="s">
        <v>285</v>
      </c>
      <c r="D20" s="15" t="s">
        <v>67</v>
      </c>
      <c r="E20" s="15">
        <f>'Company Scorecard'!K65</f>
        <v>7.4999999999999997E-2</v>
      </c>
      <c r="F20" s="15">
        <f>'Company Scorecard'!L65</f>
        <v>5.5599999999999997E-2</v>
      </c>
      <c r="G20" s="15">
        <f>'Company Scorecard'!M65</f>
        <v>0.15379999999999999</v>
      </c>
      <c r="H20" s="15">
        <f>'Company Scorecard'!N65</f>
        <v>5.4100000000000002E-2</v>
      </c>
      <c r="I20" s="161">
        <f>'Company Scorecard'!O65</f>
        <v>5.1999999999999998E-2</v>
      </c>
      <c r="J20" s="15">
        <f>'Company Scorecard'!P65</f>
        <v>0</v>
      </c>
      <c r="K20" s="15">
        <f>'Company Scorecard'!Q65</f>
        <v>7.1400000000000005E-2</v>
      </c>
      <c r="L20" s="15">
        <f>'Company Scorecard'!R65</f>
        <v>3.85E-2</v>
      </c>
      <c r="M20" s="15">
        <f>'Company Scorecard'!S65</f>
        <v>3.4500000000000003E-2</v>
      </c>
      <c r="N20" s="161">
        <f>'Company Scorecard'!$T$65</f>
        <v>4.7E-2</v>
      </c>
      <c r="O20" s="15">
        <f>'Company Scorecard'!U65</f>
        <v>6.4500000000000002E-2</v>
      </c>
      <c r="P20" s="15">
        <f>'Company Scorecard'!V65</f>
        <v>6.8000000000000005E-2</v>
      </c>
      <c r="Q20" s="15">
        <f>'Company Scorecard'!W65</f>
        <v>5.5E-2</v>
      </c>
      <c r="R20" s="15">
        <f>'Company Scorecard'!X65</f>
        <v>5.1999999999999998E-2</v>
      </c>
      <c r="S20" s="15">
        <f>'Company Scorecard'!Y65</f>
        <v>5.2999999999999999E-2</v>
      </c>
      <c r="T20" s="161">
        <f>'Company Scorecard'!Z65</f>
        <v>4.4999999999999998E-2</v>
      </c>
      <c r="U20" s="15">
        <f>'Company Scorecard'!AA65</f>
        <v>4.8000000000000001E-2</v>
      </c>
      <c r="V20" s="15">
        <f>'Company Scorecard'!AB65</f>
        <v>5.7000000000000002E-2</v>
      </c>
      <c r="W20" s="15">
        <f>'Company Scorecard'!AC65</f>
        <v>4.9000000000000002E-2</v>
      </c>
      <c r="X20" s="15">
        <f>'Company Scorecard'!AD65</f>
        <v>1E-4</v>
      </c>
      <c r="Y20" s="230">
        <f>'Company Scorecard'!AE65</f>
        <v>1.7000000000000001E-2</v>
      </c>
      <c r="Z20" s="230">
        <f>'Company Scorecard'!AF65</f>
        <v>2.7E-2</v>
      </c>
      <c r="AA20" s="15">
        <f>'Company Scorecard'!AG65</f>
        <v>1.9E-2</v>
      </c>
      <c r="AB20" s="15">
        <f>'Company Scorecard'!AH65</f>
        <v>1.7999999999999999E-2</v>
      </c>
      <c r="AC20" s="15">
        <f>'Company Scorecard'!AI65</f>
        <v>0.02</v>
      </c>
      <c r="AD20" s="161">
        <f>'Company Scorecard'!AJ65</f>
        <v>3.0000000000000001E-3</v>
      </c>
      <c r="AE20" s="15">
        <f>'Company Scorecard'!AK65</f>
        <v>1.9E-2</v>
      </c>
      <c r="AF20" s="15">
        <f>'Company Scorecard'!AL65</f>
        <v>1.7000000000000001E-2</v>
      </c>
      <c r="AG20" s="15">
        <f>'Company Scorecard'!AM65</f>
        <v>2.9000000000000001E-2</v>
      </c>
      <c r="AH20" s="15">
        <f>'Company Scorecard'!AN65</f>
        <v>4.2000000000000003E-2</v>
      </c>
      <c r="AI20" s="15">
        <f>'Company Scorecard'!AO65</f>
        <v>3.1E-2</v>
      </c>
      <c r="AJ20" s="161">
        <f>'Company Scorecard'!AP65</f>
        <v>4.2000000000000003E-2</v>
      </c>
      <c r="AK20" s="15">
        <f>'Company Scorecard'!AQ65</f>
        <v>3.6999999999999998E-2</v>
      </c>
      <c r="AL20" s="15">
        <f>'Company Scorecard'!AR65</f>
        <v>3.6999999999999998E-2</v>
      </c>
      <c r="AM20" s="15">
        <f>'Company Scorecard'!AS65</f>
        <v>4.1000000000000002E-2</v>
      </c>
      <c r="AN20" s="15">
        <f>'Company Scorecard'!AT65</f>
        <v>3.4000000000000002E-2</v>
      </c>
      <c r="AO20" s="161">
        <f>'Company Scorecard'!AU65</f>
        <v>3.4000000000000002E-2</v>
      </c>
      <c r="AP20" s="15">
        <f>'Company Scorecard'!AV65</f>
        <v>2.7E-2</v>
      </c>
      <c r="AQ20" s="15">
        <f>'Company Scorecard'!AW65</f>
        <v>4.9000000000000002E-2</v>
      </c>
      <c r="AR20" s="15">
        <f>'Company Scorecard'!AX65</f>
        <v>6.8000000000000005E-2</v>
      </c>
      <c r="AS20" s="15">
        <f>'Company Scorecard'!AY65</f>
        <v>6.8000000000000005E-2</v>
      </c>
      <c r="AT20" s="161">
        <f>'Company Scorecard'!AZ65</f>
        <v>6.6000000000000003E-2</v>
      </c>
      <c r="AU20" s="15">
        <f>'Company Scorecard'!BA65</f>
        <v>6.0999999999999999E-2</v>
      </c>
      <c r="AV20" s="206" t="str">
        <f>'Company Scorecard'!BB65</f>
        <v>NA</v>
      </c>
      <c r="AW20" s="206" t="str">
        <f>'Company Scorecard'!BC65</f>
        <v>NA</v>
      </c>
      <c r="AX20" s="206" t="str">
        <f>'Company Scorecard'!BD65</f>
        <v>NA</v>
      </c>
      <c r="AY20" s="206">
        <f>'Company Scorecard'!BE65</f>
        <v>0.02</v>
      </c>
      <c r="AZ20" s="161">
        <f>'Company Scorecard'!BF65</f>
        <v>4.1000000000000002E-2</v>
      </c>
      <c r="BA20" s="206">
        <f>'Company Scorecard'!BG65</f>
        <v>3.4000000000000002E-2</v>
      </c>
      <c r="BB20" s="206">
        <f>'Company Scorecard'!BH65</f>
        <v>5.6000000000000001E-2</v>
      </c>
      <c r="BC20" s="206">
        <f>'Company Scorecard'!BI65</f>
        <v>0.06</v>
      </c>
      <c r="BD20" s="206">
        <f>'Company Scorecard'!BJ65</f>
        <v>3.5999999999999997E-2</v>
      </c>
      <c r="BE20" s="161">
        <f>'Company Scorecard'!BK65</f>
        <v>9.6000000000000002E-2</v>
      </c>
      <c r="BF20" s="206">
        <f>'Company Scorecard'!BL65</f>
        <v>9.0999999999999998E-2</v>
      </c>
      <c r="BG20" s="206">
        <f>'Company Scorecard'!BM65</f>
        <v>8.6999999999999994E-2</v>
      </c>
      <c r="BH20" s="206">
        <f>'Company Scorecard'!BN65</f>
        <v>6.0999999999999999E-2</v>
      </c>
      <c r="BI20" s="206">
        <f>'Company Scorecard'!BO65</f>
        <v>6.7000000000000004E-2</v>
      </c>
      <c r="BJ20" s="206">
        <f>'Company Scorecard'!BP65</f>
        <v>3.9E-2</v>
      </c>
      <c r="BK20" s="161">
        <f>'Company Scorecard'!BQ65</f>
        <v>0.105</v>
      </c>
      <c r="BL20" s="206">
        <f>'Company Scorecard'!BR65</f>
        <v>3.9E-2</v>
      </c>
      <c r="BM20" s="206">
        <f>'Company Scorecard'!BS65</f>
        <v>2.9000000000000001E-2</v>
      </c>
      <c r="BN20" s="206">
        <f>'Company Scorecard'!BT65</f>
        <v>8.1000000000000003E-2</v>
      </c>
      <c r="BO20" s="206">
        <f>'Company Scorecard'!BU65</f>
        <v>6.5000000000000002E-2</v>
      </c>
      <c r="BP20" s="161">
        <f>'Company Scorecard'!BV65</f>
        <v>7.8E-2</v>
      </c>
      <c r="BQ20" s="161">
        <f>'Company Scorecard'!BW65</f>
        <v>1.9E-2</v>
      </c>
      <c r="BR20" s="161">
        <f>'Company Scorecard'!BX65</f>
        <v>4.4999999999999998E-2</v>
      </c>
      <c r="BS20" s="161">
        <f>'Company Scorecard'!BY65</f>
        <v>3.5999999999999997E-2</v>
      </c>
      <c r="BT20" s="161">
        <v>3.2000000000000001E-2</v>
      </c>
      <c r="BU20" s="161">
        <f>'Company Scorecard'!CA65</f>
        <v>5.5E-2</v>
      </c>
      <c r="BV20" s="161">
        <f>'Company Scorecard'!CB65</f>
        <v>3.2000000000000001E-2</v>
      </c>
      <c r="BW20" s="161">
        <f>'Company Scorecard'!CC65</f>
        <v>4.2999999999999997E-2</v>
      </c>
      <c r="BX20" s="161">
        <f>'Company Scorecard'!CD65</f>
        <v>3.5000000000000003E-2</v>
      </c>
      <c r="BY20" s="161">
        <f>'Company Scorecard'!CE65</f>
        <v>3.7999999999999999E-2</v>
      </c>
      <c r="BZ20" s="161">
        <f>'Company Scorecard'!CF65</f>
        <v>6.2E-2</v>
      </c>
      <c r="CA20" s="161">
        <f>'Company Scorecard'!CG65</f>
        <v>2.1000000000000001E-2</v>
      </c>
      <c r="CB20" s="161">
        <f>'Company Scorecard'!CH65</f>
        <v>1.2E-2</v>
      </c>
      <c r="CC20" s="161">
        <f>'Company Scorecard'!CI65</f>
        <v>1.4E-2</v>
      </c>
      <c r="CD20" s="161">
        <f>'Company Scorecard'!CJ65</f>
        <v>1.6E-2</v>
      </c>
      <c r="CE20" s="161">
        <f>'Company Scorecard'!CK65</f>
        <v>2.1000000000000001E-2</v>
      </c>
      <c r="CF20" s="161">
        <f>'Company Scorecard'!CL65</f>
        <v>7.5999999999999998E-2</v>
      </c>
    </row>
    <row r="21" spans="1:84" s="15" customFormat="1">
      <c r="C21" s="60" t="s">
        <v>285</v>
      </c>
      <c r="D21" s="15" t="s">
        <v>68</v>
      </c>
      <c r="E21" s="15">
        <f>'Company Scorecard'!K66</f>
        <v>0</v>
      </c>
      <c r="F21" s="15">
        <f>'Company Scorecard'!L66</f>
        <v>4.1700000000000001E-2</v>
      </c>
      <c r="G21" s="15">
        <f>'Company Scorecard'!M66</f>
        <v>4.3499999999999997E-2</v>
      </c>
      <c r="H21" s="15">
        <f>'Company Scorecard'!N66</f>
        <v>0</v>
      </c>
      <c r="I21" s="161">
        <f>'Company Scorecard'!O66</f>
        <v>4.7E-2</v>
      </c>
      <c r="J21" s="15">
        <f>'Company Scorecard'!P66</f>
        <v>3.1300000000000001E-2</v>
      </c>
      <c r="K21" s="15">
        <f>'Company Scorecard'!Q66</f>
        <v>3.85E-2</v>
      </c>
      <c r="L21" s="15">
        <f>'Company Scorecard'!R66</f>
        <v>3.5700000000000003E-2</v>
      </c>
      <c r="M21" s="15">
        <f>'Company Scorecard'!S66</f>
        <v>0.1071</v>
      </c>
      <c r="N21" s="161">
        <f>'Company Scorecard'!$T$66</f>
        <v>5.8999999999999997E-2</v>
      </c>
      <c r="O21" s="15">
        <f>'Company Scorecard'!U66</f>
        <v>8.5699999999999998E-2</v>
      </c>
      <c r="P21" s="15">
        <f>'Company Scorecard'!V66</f>
        <v>8.1000000000000003E-2</v>
      </c>
      <c r="Q21" s="15">
        <f>'Company Scorecard'!W66</f>
        <v>5.5E-2</v>
      </c>
      <c r="R21" s="15">
        <f>'Company Scorecard'!X66</f>
        <v>5.8000000000000003E-2</v>
      </c>
      <c r="S21" s="15">
        <f>'Company Scorecard'!Y66</f>
        <v>3.9E-2</v>
      </c>
      <c r="T21" s="161">
        <f>'Company Scorecard'!Z66</f>
        <v>4.5999999999999999E-2</v>
      </c>
      <c r="U21" s="15">
        <f>'Company Scorecard'!AA66</f>
        <v>0.05</v>
      </c>
      <c r="V21" s="15">
        <f>'Company Scorecard'!AB66</f>
        <v>0.05</v>
      </c>
      <c r="W21" s="15">
        <f>'Company Scorecard'!AC66</f>
        <v>4.9000000000000002E-2</v>
      </c>
      <c r="X21" s="15">
        <f>'Company Scorecard'!AD66</f>
        <v>0.06</v>
      </c>
      <c r="Y21" s="230">
        <f>'Company Scorecard'!AE66</f>
        <v>4.5999999999999999E-2</v>
      </c>
      <c r="Z21" s="230">
        <f>'Company Scorecard'!AF66</f>
        <v>4.1000000000000002E-2</v>
      </c>
      <c r="AA21" s="15">
        <f>'Company Scorecard'!AG66</f>
        <v>3.5999999999999997E-2</v>
      </c>
      <c r="AB21" s="15">
        <f>'Company Scorecard'!AH66</f>
        <v>4.2000000000000003E-2</v>
      </c>
      <c r="AC21" s="15">
        <f>'Company Scorecard'!AI66</f>
        <v>5.5E-2</v>
      </c>
      <c r="AD21" s="161">
        <f>'Company Scorecard'!AJ66</f>
        <v>4.8000000000000001E-2</v>
      </c>
      <c r="AE21" s="15">
        <f>'Company Scorecard'!AK66</f>
        <v>7.6999999999999999E-2</v>
      </c>
      <c r="AF21" s="15">
        <f>'Company Scorecard'!AL66</f>
        <v>7.0999999999999994E-2</v>
      </c>
      <c r="AG21" s="15">
        <f>'Company Scorecard'!AM66</f>
        <v>6.8000000000000005E-2</v>
      </c>
      <c r="AH21" s="15">
        <f>'Company Scorecard'!AN66</f>
        <v>7.9000000000000001E-2</v>
      </c>
      <c r="AI21" s="15">
        <f>'Company Scorecard'!AO66</f>
        <v>4.9000000000000002E-2</v>
      </c>
      <c r="AJ21" s="161">
        <f>'Company Scorecard'!AP66</f>
        <v>0.05</v>
      </c>
      <c r="AK21" s="15">
        <f>'Company Scorecard'!AQ66</f>
        <v>7.1999999999999995E-2</v>
      </c>
      <c r="AL21" s="15">
        <f>'Company Scorecard'!AR66</f>
        <v>7.1999999999999995E-2</v>
      </c>
      <c r="AM21" s="15">
        <f>'Company Scorecard'!AS66</f>
        <v>7.6999999999999999E-2</v>
      </c>
      <c r="AN21" s="15">
        <f>'Company Scorecard'!AT66</f>
        <v>7.5999999999999998E-2</v>
      </c>
      <c r="AO21" s="161">
        <f>'Company Scorecard'!AU66</f>
        <v>5.8000000000000003E-2</v>
      </c>
      <c r="AP21" s="15">
        <f>'Company Scorecard'!AV66</f>
        <v>5.2999999999999999E-2</v>
      </c>
      <c r="AQ21" s="15">
        <f>'Company Scorecard'!AW66</f>
        <v>5.3999999999999999E-2</v>
      </c>
      <c r="AR21" s="15">
        <f>'Company Scorecard'!AX66</f>
        <v>4.5999999999999999E-2</v>
      </c>
      <c r="AS21" s="15">
        <f>'Company Scorecard'!AY66</f>
        <v>3.9E-2</v>
      </c>
      <c r="AT21" s="161">
        <f>'Company Scorecard'!AZ66</f>
        <v>5.5E-2</v>
      </c>
      <c r="AU21" s="15">
        <f>'Company Scorecard'!BA66</f>
        <v>5.5E-2</v>
      </c>
      <c r="AV21" s="15">
        <f>'Company Scorecard'!BB66</f>
        <v>0.06</v>
      </c>
      <c r="AW21" s="15">
        <f>'Company Scorecard'!BC66</f>
        <v>6.6000000000000003E-2</v>
      </c>
      <c r="AX21" s="15">
        <f>'Company Scorecard'!BD66</f>
        <v>5.3999999999999999E-2</v>
      </c>
      <c r="AY21" s="15">
        <f>'Company Scorecard'!BE66</f>
        <v>3.9E-2</v>
      </c>
      <c r="AZ21" s="161">
        <f>'Company Scorecard'!BF66</f>
        <v>6.2E-2</v>
      </c>
      <c r="BA21" s="15">
        <f>'Company Scorecard'!BG66</f>
        <v>2.7E-2</v>
      </c>
      <c r="BB21" s="15">
        <f>'Company Scorecard'!BH66</f>
        <v>3.4000000000000002E-2</v>
      </c>
      <c r="BC21" s="15">
        <f>'Company Scorecard'!BI66</f>
        <v>3.5999999999999997E-2</v>
      </c>
      <c r="BD21" s="15">
        <f>'Company Scorecard'!BJ66</f>
        <v>3.2000000000000001E-2</v>
      </c>
      <c r="BE21" s="161">
        <f>'Company Scorecard'!BK66</f>
        <v>4.7E-2</v>
      </c>
      <c r="BF21" s="15">
        <f>'Company Scorecard'!BL66</f>
        <v>1.6E-2</v>
      </c>
      <c r="BG21" s="15">
        <f>'Company Scorecard'!BM66</f>
        <v>1.7999999999999999E-2</v>
      </c>
      <c r="BH21" s="15">
        <f>'Company Scorecard'!BN66</f>
        <v>3.1E-2</v>
      </c>
      <c r="BI21" s="15">
        <f>'Company Scorecard'!BO66</f>
        <v>4.2000000000000003E-2</v>
      </c>
      <c r="BJ21" s="15">
        <f>'Company Scorecard'!BP66</f>
        <v>3.1E-2</v>
      </c>
      <c r="BK21" s="161">
        <f>'Company Scorecard'!BQ66</f>
        <v>3.5999999999999997E-2</v>
      </c>
      <c r="BL21" s="15">
        <f>'Company Scorecard'!BR66</f>
        <v>1.0999999999999999E-2</v>
      </c>
      <c r="BM21" s="15">
        <f>'Company Scorecard'!BS66</f>
        <v>1.0999999999999999E-2</v>
      </c>
      <c r="BN21" s="15">
        <f>'Company Scorecard'!BT66</f>
        <v>4.3999999999999997E-2</v>
      </c>
      <c r="BO21" s="15">
        <f>'Company Scorecard'!BU66</f>
        <v>6.0999999999999999E-2</v>
      </c>
      <c r="BP21" s="161">
        <f>'Company Scorecard'!BV66</f>
        <v>7.1999999999999995E-2</v>
      </c>
      <c r="BQ21" s="161">
        <f>'Company Scorecard'!BW66</f>
        <v>5.2999999999999999E-2</v>
      </c>
      <c r="BR21" s="161">
        <f>'Company Scorecard'!BX66</f>
        <v>4.8000000000000001E-2</v>
      </c>
      <c r="BS21" s="161">
        <f>'Company Scorecard'!BY66</f>
        <v>0</v>
      </c>
      <c r="BT21" s="161">
        <v>0</v>
      </c>
      <c r="BU21" s="161">
        <f>'Company Scorecard'!CA66</f>
        <v>0.03</v>
      </c>
      <c r="BV21" s="161">
        <f>'Company Scorecard'!CB66</f>
        <v>1.4E-2</v>
      </c>
      <c r="BW21" s="161">
        <f>'Company Scorecard'!CC66</f>
        <v>2.1999999999999999E-2</v>
      </c>
      <c r="BX21" s="161">
        <f>'Company Scorecard'!CD66</f>
        <v>1.0999999999999999E-2</v>
      </c>
      <c r="BY21" s="161">
        <f>'Company Scorecard'!CE66</f>
        <v>0.01</v>
      </c>
      <c r="BZ21" s="161">
        <f>'Company Scorecard'!CF66</f>
        <v>4.9000000000000002E-2</v>
      </c>
      <c r="CA21" s="161">
        <f>'Company Scorecard'!CG66</f>
        <v>1.9E-2</v>
      </c>
      <c r="CB21" s="161">
        <f>'Company Scorecard'!CH66</f>
        <v>3.2000000000000001E-2</v>
      </c>
      <c r="CC21" s="161">
        <f>'Company Scorecard'!CI66</f>
        <v>4.3999999999999997E-2</v>
      </c>
      <c r="CD21" s="161">
        <f>'Company Scorecard'!CJ66</f>
        <v>4.1000000000000002E-2</v>
      </c>
      <c r="CE21" s="161">
        <f>'Company Scorecard'!CK66</f>
        <v>2.5000000000000001E-2</v>
      </c>
      <c r="CF21" s="161">
        <f>'Company Scorecard'!CL66</f>
        <v>4.4999999999999998E-2</v>
      </c>
    </row>
    <row r="22" spans="1:84" s="11" customFormat="1">
      <c r="A22" s="10" t="s">
        <v>286</v>
      </c>
      <c r="B22" s="10"/>
      <c r="C22" s="54" t="s">
        <v>2</v>
      </c>
      <c r="I22" s="153"/>
      <c r="N22" s="153"/>
      <c r="T22" s="153"/>
      <c r="Y22" s="229"/>
      <c r="Z22" s="229"/>
      <c r="AD22" s="153"/>
      <c r="AE22" s="229"/>
      <c r="AJ22" s="153"/>
      <c r="AO22" s="153"/>
      <c r="AT22" s="153"/>
      <c r="AZ22" s="153"/>
      <c r="BE22" s="153"/>
      <c r="BK22" s="153"/>
      <c r="BP22" s="153"/>
      <c r="BQ22" s="153"/>
      <c r="BR22" s="153"/>
      <c r="BS22" s="153"/>
      <c r="BT22" s="153"/>
      <c r="BU22" s="153"/>
      <c r="BV22" s="153"/>
      <c r="BW22" s="153"/>
      <c r="BX22" s="153"/>
      <c r="BY22" s="153"/>
      <c r="BZ22" s="153"/>
      <c r="CA22" s="153"/>
      <c r="CB22" s="153"/>
      <c r="CC22" s="153"/>
      <c r="CD22" s="153"/>
      <c r="CE22" s="153"/>
      <c r="CF22" s="153"/>
    </row>
    <row r="23" spans="1:84">
      <c r="A23" s="177" t="s">
        <v>287</v>
      </c>
      <c r="B23" s="359" t="s">
        <v>288</v>
      </c>
      <c r="I23" s="154"/>
      <c r="N23" s="154"/>
      <c r="T23" s="154"/>
      <c r="Y23" s="227"/>
      <c r="Z23" s="227"/>
      <c r="AD23" s="154"/>
      <c r="AE23" s="227"/>
      <c r="AJ23" s="154"/>
      <c r="AO23" s="154"/>
      <c r="AT23" s="154"/>
      <c r="AZ23" s="154"/>
      <c r="BE23" s="154"/>
      <c r="BK23" s="154"/>
      <c r="BP23" s="154">
        <f>'[1]2026 Analysis'!B$6</f>
        <v>4</v>
      </c>
      <c r="BQ23" s="154">
        <f>'[1]2026 Analysis'!C$6</f>
        <v>9</v>
      </c>
      <c r="BR23" s="154">
        <f>'[1]2026 Analysis'!D$6</f>
        <v>8</v>
      </c>
      <c r="BS23" s="154">
        <f>'[1]2026 Analysis'!E$6</f>
        <v>0</v>
      </c>
      <c r="BT23" s="154">
        <f>'[1]2026 Analysis'!F$6</f>
        <v>0</v>
      </c>
      <c r="BU23" s="154">
        <f>'[1]2026 Analysis'!C$6</f>
        <v>9</v>
      </c>
      <c r="BV23" s="154">
        <f>'[1]2026 Analysis'!H$6</f>
        <v>0</v>
      </c>
      <c r="BW23" s="154">
        <f>'[1]2026 Analysis'!I$6</f>
        <v>0</v>
      </c>
      <c r="BX23" s="154">
        <f>'[1]2026 Analysis'!J$6</f>
        <v>0</v>
      </c>
      <c r="BY23" s="154">
        <f>'[1]2026 Analysis'!K$6</f>
        <v>0</v>
      </c>
      <c r="BZ23" s="154">
        <f>'[1]2026 Analysis'!D$6</f>
        <v>8</v>
      </c>
      <c r="CA23" s="154"/>
      <c r="CB23" s="154"/>
      <c r="CC23" s="154"/>
      <c r="CD23" s="154"/>
      <c r="CE23" s="154"/>
      <c r="CF23" s="154"/>
    </row>
    <row r="24" spans="1:84">
      <c r="A24" s="177" t="s">
        <v>289</v>
      </c>
      <c r="B24" s="177" t="s">
        <v>290</v>
      </c>
      <c r="I24" s="154"/>
      <c r="N24" s="154"/>
      <c r="T24" s="154"/>
      <c r="Y24" s="227"/>
      <c r="Z24" s="227"/>
      <c r="AD24" s="154"/>
      <c r="AE24" s="227"/>
      <c r="AJ24" s="154"/>
      <c r="AO24" s="154"/>
      <c r="AT24" s="154"/>
      <c r="AZ24" s="154"/>
      <c r="BE24" s="154"/>
      <c r="BK24" s="154"/>
      <c r="BP24" s="154">
        <v>75</v>
      </c>
      <c r="BQ24" s="154"/>
      <c r="BR24" s="154"/>
      <c r="BS24" s="154"/>
      <c r="BT24" s="154"/>
      <c r="BU24" s="154">
        <v>78</v>
      </c>
      <c r="BV24" s="154"/>
      <c r="BW24" s="154"/>
      <c r="BX24" s="154"/>
      <c r="BY24" s="154"/>
      <c r="BZ24" s="154">
        <v>85</v>
      </c>
      <c r="CA24" s="154"/>
      <c r="CB24" s="154"/>
      <c r="CC24" s="154"/>
      <c r="CD24" s="154"/>
      <c r="CE24" s="154"/>
      <c r="CF24" s="154"/>
    </row>
    <row r="25" spans="1:84">
      <c r="A25" s="177" t="s">
        <v>291</v>
      </c>
      <c r="C25" s="58">
        <v>0.4</v>
      </c>
      <c r="I25" s="154"/>
      <c r="N25" s="154"/>
      <c r="T25" s="154"/>
      <c r="Y25" s="227"/>
      <c r="Z25" s="227"/>
      <c r="AD25" s="154"/>
      <c r="AE25" s="227"/>
      <c r="AJ25" s="154"/>
      <c r="AO25" s="154"/>
      <c r="AT25" s="154"/>
      <c r="AZ25" s="154"/>
      <c r="BE25" s="154"/>
      <c r="BK25" s="154"/>
      <c r="BP25" s="155">
        <f>BP23/BP24</f>
        <v>5.3333333333333337E-2</v>
      </c>
      <c r="BQ25" s="154"/>
      <c r="BR25" s="154"/>
      <c r="BS25" s="154"/>
      <c r="BT25" s="154"/>
      <c r="BU25" s="155">
        <f>BU23/BU24</f>
        <v>0.11538461538461539</v>
      </c>
      <c r="BV25" s="154"/>
      <c r="BW25" s="154"/>
      <c r="BX25" s="154"/>
      <c r="BY25" s="154"/>
      <c r="BZ25" s="155">
        <f>BZ23/BZ24</f>
        <v>9.4117647058823528E-2</v>
      </c>
      <c r="CA25" s="154"/>
      <c r="CB25" s="154"/>
      <c r="CC25" s="154"/>
      <c r="CD25" s="154"/>
      <c r="CE25" s="154"/>
      <c r="CF25" s="155"/>
    </row>
    <row r="26" spans="1:84">
      <c r="A26" s="177" t="s">
        <v>292</v>
      </c>
      <c r="I26" s="154"/>
      <c r="N26" s="154"/>
      <c r="T26" s="154"/>
      <c r="Y26" s="227"/>
      <c r="Z26" s="227"/>
      <c r="AD26" s="154"/>
      <c r="AE26" s="227"/>
      <c r="AJ26" s="154"/>
      <c r="AO26" s="154"/>
      <c r="AT26" s="154"/>
      <c r="AZ26" s="154"/>
      <c r="BE26" s="154"/>
      <c r="BK26" s="154"/>
      <c r="BP26" s="154">
        <v>225</v>
      </c>
      <c r="BQ26" s="154"/>
      <c r="BR26" s="154"/>
      <c r="BS26" s="154"/>
      <c r="BT26" s="154"/>
      <c r="BU26" s="154">
        <v>239</v>
      </c>
      <c r="BV26" s="154"/>
      <c r="BW26" s="154"/>
      <c r="BX26" s="154"/>
      <c r="BY26" s="154"/>
      <c r="BZ26" s="154">
        <v>237</v>
      </c>
      <c r="CA26" s="154"/>
      <c r="CB26" s="154"/>
      <c r="CC26" s="154"/>
      <c r="CD26" s="154"/>
      <c r="CE26" s="154"/>
      <c r="CF26" s="154"/>
    </row>
    <row r="27" spans="1:84">
      <c r="A27" s="177" t="s">
        <v>293</v>
      </c>
      <c r="C27" s="58">
        <v>0.15</v>
      </c>
      <c r="I27" s="154"/>
      <c r="N27" s="154"/>
      <c r="T27" s="154"/>
      <c r="Y27" s="227"/>
      <c r="Z27" s="227"/>
      <c r="AD27" s="154"/>
      <c r="AE27" s="227"/>
      <c r="AJ27" s="154"/>
      <c r="AO27" s="154"/>
      <c r="AT27" s="154"/>
      <c r="AZ27" s="154"/>
      <c r="BE27" s="154"/>
      <c r="BK27" s="154"/>
      <c r="BP27" s="155">
        <f>BP23/BP26</f>
        <v>1.7777777777777778E-2</v>
      </c>
      <c r="BQ27" s="154"/>
      <c r="BR27" s="154"/>
      <c r="BS27" s="154"/>
      <c r="BT27" s="154"/>
      <c r="BU27" s="155">
        <f>BU23/BU26</f>
        <v>3.7656903765690378E-2</v>
      </c>
      <c r="BV27" s="154"/>
      <c r="BW27" s="154"/>
      <c r="BX27" s="154"/>
      <c r="BY27" s="154"/>
      <c r="BZ27" s="155">
        <f>BZ23/BZ26</f>
        <v>3.3755274261603373E-2</v>
      </c>
      <c r="CA27" s="154"/>
      <c r="CB27" s="154"/>
      <c r="CC27" s="154"/>
      <c r="CD27" s="154"/>
      <c r="CE27" s="154"/>
      <c r="CF27" s="155"/>
    </row>
    <row r="28" spans="1:84" s="11" customFormat="1">
      <c r="A28" s="10" t="s">
        <v>112</v>
      </c>
      <c r="B28" s="10"/>
      <c r="C28" s="54" t="s">
        <v>2</v>
      </c>
      <c r="I28" s="153"/>
      <c r="N28" s="153"/>
      <c r="T28" s="153"/>
      <c r="Y28" s="229"/>
      <c r="Z28" s="229"/>
      <c r="AD28" s="153"/>
      <c r="AE28" s="229"/>
      <c r="AJ28" s="153"/>
      <c r="AO28" s="153"/>
      <c r="AT28" s="153"/>
      <c r="AZ28" s="153"/>
      <c r="BE28" s="153"/>
      <c r="BK28" s="153"/>
      <c r="BP28" s="153"/>
      <c r="BQ28" s="153"/>
      <c r="BR28" s="153"/>
      <c r="BS28" s="153"/>
      <c r="BT28" s="153"/>
      <c r="BU28" s="153"/>
      <c r="BV28" s="153"/>
      <c r="BW28" s="153"/>
      <c r="BX28" s="153"/>
      <c r="BY28" s="153"/>
      <c r="BZ28" s="153"/>
      <c r="CA28" s="153"/>
      <c r="CB28" s="153"/>
      <c r="CC28" s="153"/>
      <c r="CD28" s="153"/>
      <c r="CE28" s="153"/>
      <c r="CF28" s="153"/>
    </row>
    <row r="29" spans="1:84">
      <c r="C29" s="337"/>
      <c r="D29" t="s">
        <v>67</v>
      </c>
      <c r="I29" s="154"/>
      <c r="N29" s="154"/>
      <c r="O29" t="s">
        <v>294</v>
      </c>
      <c r="T29" s="154"/>
      <c r="Y29" s="227"/>
      <c r="Z29" s="227"/>
      <c r="AD29" s="154"/>
      <c r="AE29" s="227"/>
      <c r="AJ29" s="154"/>
      <c r="AO29" s="154"/>
      <c r="AT29" s="154"/>
      <c r="AZ29" s="154"/>
      <c r="BE29" s="154"/>
      <c r="BK29" s="154"/>
      <c r="BP29" s="154"/>
      <c r="BQ29" s="154"/>
      <c r="BR29" s="154"/>
      <c r="BS29" s="154"/>
      <c r="BT29" s="154"/>
      <c r="BU29" s="154"/>
      <c r="BV29" s="223"/>
      <c r="BW29" s="223"/>
      <c r="BX29" s="155">
        <f>(168.5-108.8)/168.5</f>
        <v>0.35430267062314541</v>
      </c>
      <c r="BY29" s="155">
        <f>(168-107)/168</f>
        <v>0.36309523809523808</v>
      </c>
      <c r="BZ29" s="154"/>
      <c r="CA29" s="155"/>
      <c r="CB29" s="155"/>
      <c r="CC29" s="155"/>
      <c r="CD29" s="155"/>
      <c r="CE29" s="155"/>
      <c r="CF29" s="154"/>
    </row>
    <row r="30" spans="1:84">
      <c r="C30" s="337"/>
      <c r="D30" t="s">
        <v>68</v>
      </c>
      <c r="I30" s="154"/>
      <c r="N30" s="154"/>
      <c r="T30" s="154"/>
      <c r="Y30" s="227"/>
      <c r="Z30" s="227"/>
      <c r="AD30" s="154"/>
      <c r="AE30" s="227"/>
      <c r="AJ30" s="154"/>
      <c r="AO30" s="154"/>
      <c r="AT30" s="154"/>
      <c r="AZ30" s="154"/>
      <c r="BE30" s="154"/>
      <c r="BK30" s="154"/>
      <c r="BP30" s="154"/>
      <c r="BQ30" s="154"/>
      <c r="BR30" s="154"/>
      <c r="BS30" s="154"/>
      <c r="BT30" s="154"/>
      <c r="BU30" s="154"/>
      <c r="BV30" s="223"/>
      <c r="BW30" s="223"/>
      <c r="BX30" s="155">
        <f>(256.1-184.1)/256.1</f>
        <v>0.28114017961733706</v>
      </c>
      <c r="BY30" s="155">
        <f>(270.7-204.5)/270.7</f>
        <v>0.24455116364979679</v>
      </c>
      <c r="BZ30" s="154"/>
      <c r="CA30" s="155"/>
      <c r="CB30" s="155"/>
      <c r="CC30" s="155"/>
      <c r="CD30" s="155"/>
      <c r="CE30" s="155"/>
      <c r="CF30" s="154"/>
    </row>
    <row r="31" spans="1:84">
      <c r="A31" s="50" t="s">
        <v>271</v>
      </c>
      <c r="C31" s="54" t="s">
        <v>2</v>
      </c>
    </row>
    <row r="32" spans="1:84">
      <c r="A32" s="39"/>
      <c r="C32" s="56" t="s">
        <v>272</v>
      </c>
      <c r="D32" t="s">
        <v>67</v>
      </c>
    </row>
    <row r="33" spans="1:4">
      <c r="A33" s="39"/>
      <c r="B33" s="56"/>
      <c r="D33" t="s">
        <v>68</v>
      </c>
    </row>
  </sheetData>
  <mergeCells count="1">
    <mergeCell ref="E2:H2"/>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58674-B66A-4CB5-980E-F5A52D3F770B}">
  <dimension ref="A1:C50"/>
  <sheetViews>
    <sheetView topLeftCell="A22" workbookViewId="0">
      <selection activeCell="B6" sqref="B6"/>
    </sheetView>
  </sheetViews>
  <sheetFormatPr defaultRowHeight="15"/>
  <cols>
    <col min="1" max="1" width="11.5703125" customWidth="1"/>
    <col min="2" max="2" width="66.42578125" customWidth="1"/>
    <col min="3" max="3" width="56.7109375" customWidth="1"/>
  </cols>
  <sheetData>
    <row r="1" spans="1:3">
      <c r="B1" s="2"/>
      <c r="C1" s="2"/>
    </row>
    <row r="2" spans="1:3">
      <c r="A2" s="1" t="s">
        <v>295</v>
      </c>
      <c r="B2" s="2"/>
      <c r="C2" s="2"/>
    </row>
    <row r="3" spans="1:3">
      <c r="A3" s="3"/>
      <c r="B3" s="4" t="s">
        <v>0</v>
      </c>
      <c r="C3" s="2"/>
    </row>
    <row r="4" spans="1:3">
      <c r="A4" s="3"/>
      <c r="B4" s="5"/>
      <c r="C4" s="2"/>
    </row>
    <row r="5" spans="1:3">
      <c r="A5" s="3">
        <v>1</v>
      </c>
      <c r="B5" s="6" t="s">
        <v>296</v>
      </c>
      <c r="C5" s="2"/>
    </row>
    <row r="6" spans="1:3">
      <c r="A6" s="3">
        <v>2</v>
      </c>
      <c r="B6" s="6" t="s">
        <v>81</v>
      </c>
      <c r="C6" s="2"/>
    </row>
    <row r="7" spans="1:3">
      <c r="A7" s="3">
        <v>3</v>
      </c>
      <c r="B7" s="6" t="s">
        <v>297</v>
      </c>
      <c r="C7" s="2"/>
    </row>
    <row r="8" spans="1:3">
      <c r="A8" s="3">
        <v>4</v>
      </c>
      <c r="B8" s="6" t="s">
        <v>298</v>
      </c>
      <c r="C8" s="2" t="s">
        <v>299</v>
      </c>
    </row>
    <row r="9" spans="1:3">
      <c r="A9" s="3">
        <v>5</v>
      </c>
      <c r="B9" s="6" t="s">
        <v>300</v>
      </c>
      <c r="C9" s="2" t="s">
        <v>301</v>
      </c>
    </row>
    <row r="10" spans="1:3">
      <c r="A10" s="3">
        <v>6</v>
      </c>
      <c r="B10" s="6" t="s">
        <v>302</v>
      </c>
      <c r="C10" s="2"/>
    </row>
    <row r="11" spans="1:3">
      <c r="A11" s="3">
        <v>7</v>
      </c>
      <c r="B11" s="6" t="s">
        <v>303</v>
      </c>
      <c r="C11" s="2" t="s">
        <v>304</v>
      </c>
    </row>
    <row r="12" spans="1:3">
      <c r="A12" s="3">
        <v>8</v>
      </c>
      <c r="B12" s="6" t="s">
        <v>305</v>
      </c>
      <c r="C12" s="2" t="s">
        <v>306</v>
      </c>
    </row>
    <row r="13" spans="1:3">
      <c r="A13" s="3">
        <v>9</v>
      </c>
      <c r="B13" s="6" t="s">
        <v>307</v>
      </c>
      <c r="C13" s="2" t="s">
        <v>299</v>
      </c>
    </row>
    <row r="14" spans="1:3">
      <c r="A14" s="3">
        <v>10</v>
      </c>
      <c r="B14" s="6" t="s">
        <v>308</v>
      </c>
      <c r="C14" s="2" t="s">
        <v>309</v>
      </c>
    </row>
    <row r="15" spans="1:3">
      <c r="A15" s="3">
        <v>11</v>
      </c>
      <c r="B15" s="6" t="s">
        <v>310</v>
      </c>
      <c r="C15" s="2" t="s">
        <v>311</v>
      </c>
    </row>
    <row r="16" spans="1:3">
      <c r="A16" s="3">
        <v>12</v>
      </c>
      <c r="B16" s="6" t="s">
        <v>312</v>
      </c>
      <c r="C16" s="2" t="s">
        <v>313</v>
      </c>
    </row>
    <row r="17" spans="1:3">
      <c r="A17" s="3">
        <v>13</v>
      </c>
      <c r="B17" s="5" t="s">
        <v>314</v>
      </c>
      <c r="C17" s="2" t="s">
        <v>315</v>
      </c>
    </row>
    <row r="18" spans="1:3">
      <c r="A18" s="3">
        <v>14</v>
      </c>
      <c r="B18" s="5" t="s">
        <v>316</v>
      </c>
      <c r="C18" s="2" t="s">
        <v>299</v>
      </c>
    </row>
    <row r="19" spans="1:3">
      <c r="A19" s="2"/>
      <c r="B19" s="2"/>
      <c r="C19" s="2"/>
    </row>
    <row r="20" spans="1:3">
      <c r="A20" s="2"/>
      <c r="B20" s="2"/>
      <c r="C20" s="2"/>
    </row>
    <row r="21" spans="1:3">
      <c r="A21" s="2"/>
      <c r="B21" s="2"/>
      <c r="C21" s="2"/>
    </row>
    <row r="22" spans="1:3">
      <c r="A22" s="2"/>
      <c r="B22" s="2" t="s">
        <v>317</v>
      </c>
      <c r="C22" s="2"/>
    </row>
    <row r="23" spans="1:3">
      <c r="A23" s="2"/>
      <c r="B23" s="2" t="s">
        <v>318</v>
      </c>
      <c r="C23" s="2"/>
    </row>
    <row r="24" spans="1:3">
      <c r="A24" s="2"/>
      <c r="B24" s="2"/>
      <c r="C24" s="2"/>
    </row>
    <row r="25" spans="1:3">
      <c r="A25" s="2"/>
      <c r="B25" s="2" t="s">
        <v>319</v>
      </c>
      <c r="C25" s="2"/>
    </row>
    <row r="26" spans="1:3">
      <c r="A26" s="2"/>
      <c r="B26" s="2"/>
      <c r="C26" s="2"/>
    </row>
    <row r="27" spans="1:3">
      <c r="A27" s="2"/>
      <c r="B27" s="2" t="s">
        <v>320</v>
      </c>
      <c r="C27" s="2"/>
    </row>
    <row r="31" spans="1:3">
      <c r="A31" s="1" t="s">
        <v>321</v>
      </c>
    </row>
    <row r="32" spans="1:3">
      <c r="A32" s="1"/>
      <c r="B32" s="4" t="s">
        <v>0</v>
      </c>
    </row>
    <row r="33" spans="1:3">
      <c r="A33" s="21">
        <v>1</v>
      </c>
      <c r="B33" s="16" t="s">
        <v>322</v>
      </c>
      <c r="C33" t="s">
        <v>323</v>
      </c>
    </row>
    <row r="34" spans="1:3">
      <c r="A34" s="21">
        <v>2</v>
      </c>
      <c r="B34" s="16" t="s">
        <v>324</v>
      </c>
      <c r="C34" t="s">
        <v>323</v>
      </c>
    </row>
    <row r="35" spans="1:3" ht="18.75">
      <c r="A35" s="21">
        <v>3</v>
      </c>
      <c r="B35" s="16" t="s">
        <v>325</v>
      </c>
      <c r="C35" t="s">
        <v>323</v>
      </c>
    </row>
    <row r="36" spans="1:3">
      <c r="A36" s="21">
        <v>4</v>
      </c>
      <c r="B36" s="16" t="s">
        <v>326</v>
      </c>
      <c r="C36" t="s">
        <v>323</v>
      </c>
    </row>
    <row r="37" spans="1:3">
      <c r="A37" s="21">
        <v>5</v>
      </c>
      <c r="B37" s="27" t="s">
        <v>327</v>
      </c>
      <c r="C37" t="s">
        <v>328</v>
      </c>
    </row>
    <row r="38" spans="1:3">
      <c r="A38" s="21">
        <v>6</v>
      </c>
      <c r="B38" s="18" t="s">
        <v>329</v>
      </c>
      <c r="C38" t="s">
        <v>330</v>
      </c>
    </row>
    <row r="39" spans="1:3">
      <c r="A39" s="21">
        <v>7</v>
      </c>
      <c r="B39" s="18" t="s">
        <v>331</v>
      </c>
      <c r="C39" t="s">
        <v>330</v>
      </c>
    </row>
    <row r="40" spans="1:3">
      <c r="A40" s="21">
        <v>8</v>
      </c>
      <c r="B40" s="18" t="s">
        <v>332</v>
      </c>
      <c r="C40" t="s">
        <v>330</v>
      </c>
    </row>
    <row r="41" spans="1:3">
      <c r="A41" s="21">
        <v>9</v>
      </c>
      <c r="B41" s="16" t="s">
        <v>333</v>
      </c>
      <c r="C41" t="s">
        <v>323</v>
      </c>
    </row>
    <row r="42" spans="1:3">
      <c r="A42" s="21">
        <v>10</v>
      </c>
      <c r="B42" s="25" t="s">
        <v>334</v>
      </c>
      <c r="C42" t="s">
        <v>323</v>
      </c>
    </row>
    <row r="43" spans="1:3">
      <c r="A43" s="21">
        <v>11</v>
      </c>
      <c r="B43" s="25" t="s">
        <v>335</v>
      </c>
      <c r="C43" t="s">
        <v>323</v>
      </c>
    </row>
    <row r="44" spans="1:3">
      <c r="A44" s="21">
        <v>12</v>
      </c>
      <c r="B44" s="28" t="s">
        <v>336</v>
      </c>
      <c r="C44" t="s">
        <v>328</v>
      </c>
    </row>
    <row r="45" spans="1:3">
      <c r="A45" s="21">
        <v>13</v>
      </c>
      <c r="B45" s="28" t="s">
        <v>337</v>
      </c>
      <c r="C45" t="s">
        <v>328</v>
      </c>
    </row>
    <row r="46" spans="1:3">
      <c r="A46" s="22">
        <v>14</v>
      </c>
      <c r="B46" s="16" t="s">
        <v>338</v>
      </c>
      <c r="C46" t="s">
        <v>323</v>
      </c>
    </row>
    <row r="47" spans="1:3">
      <c r="A47" s="23">
        <v>15</v>
      </c>
      <c r="B47" s="17" t="s">
        <v>339</v>
      </c>
    </row>
    <row r="48" spans="1:3">
      <c r="A48" s="24">
        <v>16</v>
      </c>
      <c r="B48" s="20" t="s">
        <v>340</v>
      </c>
      <c r="C48" t="s">
        <v>330</v>
      </c>
    </row>
    <row r="49" spans="1:3">
      <c r="A49" s="24">
        <v>17</v>
      </c>
      <c r="B49" s="27" t="s">
        <v>341</v>
      </c>
      <c r="C49" t="s">
        <v>328</v>
      </c>
    </row>
    <row r="50" spans="1:3">
      <c r="A50" s="24">
        <v>18</v>
      </c>
      <c r="B50" s="19" t="s">
        <v>91</v>
      </c>
      <c r="C50" t="s">
        <v>323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276AD-76FF-408E-9E3E-6601CC92B122}">
  <dimension ref="A1:CA31"/>
  <sheetViews>
    <sheetView workbookViewId="0">
      <pane xSplit="1" topLeftCell="AY1" activePane="topRight" state="frozen"/>
      <selection pane="topRight" activeCell="CD25" sqref="CD25"/>
    </sheetView>
  </sheetViews>
  <sheetFormatPr defaultColWidth="9.140625" defaultRowHeight="15" outlineLevelCol="1"/>
  <cols>
    <col min="1" max="1" width="35" bestFit="1" customWidth="1"/>
    <col min="2" max="2" width="34" bestFit="1" customWidth="1"/>
    <col min="3" max="3" width="25.7109375" style="56" customWidth="1"/>
    <col min="4" max="4" width="17.7109375" customWidth="1"/>
    <col min="5" max="8" width="9.140625" hidden="1" customWidth="1"/>
    <col min="9" max="9" width="10.42578125" bestFit="1" customWidth="1"/>
    <col min="10" max="13" width="0" hidden="1" customWidth="1"/>
    <col min="14" max="14" width="10.42578125" bestFit="1" customWidth="1"/>
    <col min="15" max="19" width="0" hidden="1" customWidth="1" outlineLevel="1"/>
    <col min="20" max="20" width="9.85546875" customWidth="1" collapsed="1"/>
    <col min="21" max="24" width="0" hidden="1" customWidth="1" outlineLevel="1"/>
    <col min="25" max="25" width="10" customWidth="1" collapsed="1"/>
    <col min="26" max="29" width="0" hidden="1" customWidth="1"/>
    <col min="30" max="30" width="10.7109375" bestFit="1" customWidth="1"/>
    <col min="31" max="35" width="0" hidden="1" customWidth="1"/>
    <col min="36" max="36" width="10.7109375" bestFit="1" customWidth="1"/>
    <col min="37" max="40" width="0" hidden="1" customWidth="1"/>
    <col min="41" max="41" width="10.7109375" bestFit="1" customWidth="1"/>
    <col min="42" max="42" width="9.85546875" customWidth="1"/>
    <col min="43" max="45" width="9.140625" customWidth="1"/>
    <col min="46" max="46" width="10.42578125" bestFit="1" customWidth="1"/>
    <col min="47" max="47" width="9.28515625" customWidth="1"/>
    <col min="48" max="48" width="9.5703125" customWidth="1"/>
    <col min="49" max="49" width="10.85546875" customWidth="1"/>
    <col min="50" max="50" width="11.85546875" customWidth="1"/>
    <col min="51" max="51" width="12.42578125" customWidth="1"/>
    <col min="52" max="52" width="10.85546875" customWidth="1"/>
    <col min="53" max="53" width="11.140625" hidden="1" customWidth="1"/>
    <col min="54" max="54" width="10.28515625" hidden="1" customWidth="1"/>
    <col min="55" max="56" width="11" hidden="1" customWidth="1"/>
    <col min="58" max="58" width="11" hidden="1" customWidth="1"/>
    <col min="59" max="59" width="10.5703125" hidden="1" customWidth="1"/>
    <col min="60" max="60" width="11.140625" hidden="1" customWidth="1"/>
    <col min="61" max="62" width="11.42578125" hidden="1" customWidth="1"/>
    <col min="64" max="67" width="0" hidden="1" customWidth="1"/>
    <col min="69" max="72" width="9.140625" hidden="1" customWidth="1"/>
    <col min="74" max="74" width="10.5703125" customWidth="1"/>
    <col min="75" max="76" width="10.140625" customWidth="1"/>
  </cols>
  <sheetData>
    <row r="1" spans="1:76" ht="47.25">
      <c r="A1" s="32" t="s">
        <v>280</v>
      </c>
      <c r="B1" s="32"/>
      <c r="C1" s="340" t="s">
        <v>342</v>
      </c>
    </row>
    <row r="2" spans="1:76">
      <c r="E2" s="368" t="s">
        <v>281</v>
      </c>
      <c r="F2" s="368"/>
      <c r="G2" s="368"/>
      <c r="H2" s="368"/>
      <c r="I2" s="40"/>
    </row>
    <row r="3" spans="1:76">
      <c r="A3" s="7" t="s">
        <v>0</v>
      </c>
      <c r="B3" s="7"/>
      <c r="C3" s="53" t="s">
        <v>2</v>
      </c>
      <c r="D3" s="7" t="s">
        <v>3</v>
      </c>
      <c r="E3" s="8">
        <v>45690</v>
      </c>
      <c r="F3" s="8">
        <f t="shared" ref="F3:M3" si="0">E3+7</f>
        <v>45697</v>
      </c>
      <c r="G3" s="8">
        <f t="shared" si="0"/>
        <v>45704</v>
      </c>
      <c r="H3" s="99">
        <f t="shared" si="0"/>
        <v>45711</v>
      </c>
      <c r="I3" s="159">
        <v>45689</v>
      </c>
      <c r="J3" s="8">
        <f>H3+7</f>
        <v>45718</v>
      </c>
      <c r="K3" s="8">
        <f t="shared" si="0"/>
        <v>45725</v>
      </c>
      <c r="L3" s="8">
        <f t="shared" si="0"/>
        <v>45732</v>
      </c>
      <c r="M3" s="99">
        <f t="shared" si="0"/>
        <v>45739</v>
      </c>
      <c r="N3" s="159">
        <v>45717</v>
      </c>
      <c r="O3" s="8" t="s">
        <v>8</v>
      </c>
      <c r="P3" s="8" t="s">
        <v>9</v>
      </c>
      <c r="Q3" s="164" t="s">
        <v>10</v>
      </c>
      <c r="R3" s="8" t="s">
        <v>11</v>
      </c>
      <c r="S3" s="99" t="s">
        <v>12</v>
      </c>
      <c r="T3" s="159">
        <v>45748</v>
      </c>
      <c r="U3" s="8" t="s">
        <v>13</v>
      </c>
      <c r="V3" s="8" t="s">
        <v>14</v>
      </c>
      <c r="W3" s="8" t="s">
        <v>15</v>
      </c>
      <c r="X3" s="99" t="s">
        <v>16</v>
      </c>
      <c r="Y3" s="159">
        <v>45778</v>
      </c>
      <c r="Z3" s="234" t="s">
        <v>17</v>
      </c>
      <c r="AA3" s="234" t="s">
        <v>18</v>
      </c>
      <c r="AB3" s="234" t="s">
        <v>19</v>
      </c>
      <c r="AC3" s="235" t="s">
        <v>20</v>
      </c>
      <c r="AD3" s="167">
        <v>45809</v>
      </c>
      <c r="AE3" s="234" t="s">
        <v>21</v>
      </c>
      <c r="AF3" s="234" t="s">
        <v>22</v>
      </c>
      <c r="AG3" s="234" t="s">
        <v>23</v>
      </c>
      <c r="AH3" s="235" t="s">
        <v>24</v>
      </c>
      <c r="AI3" s="235" t="s">
        <v>25</v>
      </c>
      <c r="AJ3" s="167">
        <v>45839</v>
      </c>
      <c r="AK3" s="99" t="s">
        <v>26</v>
      </c>
      <c r="AL3" s="99" t="s">
        <v>27</v>
      </c>
      <c r="AM3" s="99" t="s">
        <v>28</v>
      </c>
      <c r="AN3" s="99" t="s">
        <v>29</v>
      </c>
      <c r="AO3" s="167">
        <v>45870</v>
      </c>
      <c r="AP3" s="99" t="s">
        <v>30</v>
      </c>
      <c r="AQ3" s="99" t="s">
        <v>31</v>
      </c>
      <c r="AR3" s="99" t="s">
        <v>32</v>
      </c>
      <c r="AS3" s="99" t="s">
        <v>33</v>
      </c>
      <c r="AT3" s="252">
        <v>45901</v>
      </c>
      <c r="AU3" s="99" t="s">
        <v>34</v>
      </c>
      <c r="AV3" s="99" t="s">
        <v>35</v>
      </c>
      <c r="AW3" s="99" t="s">
        <v>36</v>
      </c>
      <c r="AX3" s="99" t="s">
        <v>37</v>
      </c>
      <c r="AY3" s="99" t="s">
        <v>38</v>
      </c>
      <c r="AZ3" s="252">
        <v>45931</v>
      </c>
      <c r="BA3" s="99" t="str">
        <f>'Company Scorecard'!BG1</f>
        <v>11/2-11/8</v>
      </c>
      <c r="BB3" s="99" t="str">
        <f>'Company Scorecard'!BH1</f>
        <v>11/9-11/15</v>
      </c>
      <c r="BC3" s="99" t="str">
        <f>'Company Scorecard'!BI1</f>
        <v>11/16-11/22</v>
      </c>
      <c r="BD3" s="99" t="str">
        <f>'Company Scorecard'!BJ1</f>
        <v>11/23-11/29</v>
      </c>
      <c r="BE3" s="252">
        <v>45962</v>
      </c>
      <c r="BF3" s="99" t="str">
        <f>'Company Scorecard'!BL1</f>
        <v>11/30-12/6</v>
      </c>
      <c r="BG3" s="99" t="str">
        <f>'Company Scorecard'!BM1</f>
        <v>12/7-12/13</v>
      </c>
      <c r="BH3" s="99" t="str">
        <f>'Company Scorecard'!BN1</f>
        <v>12/14-12/20</v>
      </c>
      <c r="BI3" s="99" t="str">
        <f>'Company Scorecard'!BO1</f>
        <v>12/21-12/27</v>
      </c>
      <c r="BJ3" s="99" t="str">
        <f>'Company Scorecard'!BP1</f>
        <v>12/28-1/3</v>
      </c>
      <c r="BK3" s="252">
        <f>'Company Scorecard'!BQ1</f>
        <v>45992</v>
      </c>
      <c r="BL3" s="99" t="str">
        <f>'Company Scorecard'!BR1</f>
        <v>1/4-1/10</v>
      </c>
      <c r="BM3" s="99" t="str">
        <f>'Company Scorecard'!BS1</f>
        <v>1/11-1/17</v>
      </c>
      <c r="BN3" s="99" t="str">
        <f>'Company Scorecard'!BT1</f>
        <v>1/18-1/24</v>
      </c>
      <c r="BO3" s="99" t="str">
        <f>'Company Scorecard'!BU1</f>
        <v>1/25-1/31</v>
      </c>
      <c r="BP3" s="252">
        <f>'Company Scorecard'!BV1</f>
        <v>46023</v>
      </c>
      <c r="BQ3" s="99" t="str">
        <f>'Company Scorecard'!BW1</f>
        <v>2/1-2/7</v>
      </c>
      <c r="BR3" s="99" t="str">
        <f>'Company Scorecard'!BX1</f>
        <v>2/8-2/14</v>
      </c>
      <c r="BS3" s="99" t="str">
        <f>'Company Scorecard'!BY1</f>
        <v>2/15-2/21</v>
      </c>
      <c r="BT3" s="99" t="str">
        <f>'Company Scorecard'!BZ1</f>
        <v>2/22-2/28</v>
      </c>
      <c r="BU3" s="252">
        <f>'Company Scorecard'!CA1</f>
        <v>46054</v>
      </c>
      <c r="BV3" s="99" t="str">
        <f>'Company Scorecard'!CB1</f>
        <v>3/1-3/7</v>
      </c>
      <c r="BW3" s="99" t="str">
        <f>'Company Scorecard'!CC1</f>
        <v>3/8-3/14</v>
      </c>
      <c r="BX3" s="99" t="str">
        <f>'Company Scorecard'!CD1</f>
        <v>3/15-3/21</v>
      </c>
    </row>
    <row r="4" spans="1:76" s="11" customFormat="1">
      <c r="A4" s="10" t="s">
        <v>240</v>
      </c>
      <c r="B4" s="10"/>
      <c r="C4" s="54" t="s">
        <v>2</v>
      </c>
      <c r="I4" s="153"/>
      <c r="N4" s="153"/>
      <c r="T4" s="153"/>
      <c r="Y4" s="229"/>
      <c r="Z4" s="225"/>
      <c r="AA4" s="226"/>
      <c r="AB4" s="226"/>
      <c r="AC4" s="226"/>
      <c r="AD4" s="150"/>
      <c r="AE4" s="225"/>
      <c r="AF4" s="226"/>
      <c r="AG4" s="226"/>
      <c r="AH4" s="226"/>
      <c r="AI4" s="226"/>
      <c r="AJ4" s="150"/>
      <c r="AO4" s="150"/>
      <c r="AT4" s="153"/>
      <c r="AZ4" s="153"/>
      <c r="BE4" s="153"/>
      <c r="BK4" s="153"/>
      <c r="BP4" s="153"/>
      <c r="BQ4" s="153"/>
      <c r="BR4" s="153"/>
      <c r="BS4" s="153"/>
      <c r="BT4" s="153"/>
      <c r="BU4" s="153"/>
      <c r="BV4" s="153"/>
      <c r="BW4" s="153"/>
      <c r="BX4" s="153"/>
    </row>
    <row r="5" spans="1:76">
      <c r="D5" t="s">
        <v>67</v>
      </c>
      <c r="E5">
        <f>'Company Scorecard'!K$7</f>
        <v>153</v>
      </c>
      <c r="F5">
        <f>'Company Scorecard'!L$7</f>
        <v>152</v>
      </c>
      <c r="G5">
        <f>'Company Scorecard'!M$7</f>
        <v>149</v>
      </c>
      <c r="H5">
        <f>'Company Scorecard'!N$7</f>
        <v>150</v>
      </c>
      <c r="I5" s="154">
        <f>'Company Scorecard'!O$7</f>
        <v>148</v>
      </c>
      <c r="J5">
        <f>'Company Scorecard'!P$7</f>
        <v>150</v>
      </c>
      <c r="K5">
        <f>'Company Scorecard'!Q$7</f>
        <v>153</v>
      </c>
      <c r="L5">
        <f>'Company Scorecard'!R$7</f>
        <v>156</v>
      </c>
      <c r="M5">
        <f>'Company Scorecard'!S$7</f>
        <v>162</v>
      </c>
      <c r="N5" s="154">
        <f>'Company Scorecard'!T7</f>
        <v>154</v>
      </c>
      <c r="O5">
        <f>'Company Scorecard'!U$7</f>
        <v>156</v>
      </c>
      <c r="P5">
        <f>'Company Scorecard'!V$7</f>
        <v>145</v>
      </c>
      <c r="Q5">
        <f>'Company Scorecard'!W$7</f>
        <v>137</v>
      </c>
      <c r="R5">
        <f>'Company Scorecard'!X$7</f>
        <v>130</v>
      </c>
      <c r="S5">
        <f>'Company Scorecard'!Y$7</f>
        <v>122</v>
      </c>
      <c r="T5" s="154">
        <f>'Company Scorecard'!Z$7</f>
        <v>135</v>
      </c>
      <c r="U5">
        <f>'Company Scorecard'!AA$7</f>
        <v>110</v>
      </c>
      <c r="V5">
        <f>'Company Scorecard'!AB$7</f>
        <v>102</v>
      </c>
      <c r="W5">
        <f>'Company Scorecard'!AC$7</f>
        <v>95</v>
      </c>
      <c r="X5">
        <f>'Company Scorecard'!AD$7</f>
        <v>88</v>
      </c>
      <c r="Y5" s="227">
        <f>'Company Scorecard'!AE$7</f>
        <v>98</v>
      </c>
      <c r="Z5" s="227">
        <f>'Company Scorecard'!AF$7</f>
        <v>83</v>
      </c>
      <c r="AA5">
        <f>'Company Scorecard'!AG$7</f>
        <v>77</v>
      </c>
      <c r="AB5">
        <f>'Company Scorecard'!AH$7</f>
        <v>71</v>
      </c>
      <c r="AC5">
        <f>'Company Scorecard'!AI$7</f>
        <v>69</v>
      </c>
      <c r="AD5" s="154">
        <f>'Company Scorecard'!AJ$7</f>
        <v>72</v>
      </c>
      <c r="AE5">
        <f>'Company Scorecard'!AK$7</f>
        <v>65</v>
      </c>
      <c r="AF5">
        <f>'Company Scorecard'!AL$7</f>
        <v>64</v>
      </c>
      <c r="AG5">
        <f>'Company Scorecard'!AM$7</f>
        <v>63</v>
      </c>
      <c r="AH5">
        <f>'Company Scorecard'!AN$7</f>
        <v>61</v>
      </c>
      <c r="AI5">
        <f>'Company Scorecard'!AO$7</f>
        <v>58</v>
      </c>
      <c r="AJ5" s="154">
        <f>'Company Scorecard'!AP$7</f>
        <v>59</v>
      </c>
      <c r="AK5">
        <f>'Company Scorecard'!AQ$7</f>
        <v>55</v>
      </c>
      <c r="AL5">
        <f>'Company Scorecard'!AR$7</f>
        <v>53</v>
      </c>
      <c r="AM5">
        <f>'Company Scorecard'!AS$7</f>
        <v>53</v>
      </c>
      <c r="AN5">
        <f>'Company Scorecard'!AT$7</f>
        <v>52</v>
      </c>
      <c r="AO5" s="154">
        <f>'Company Scorecard'!AU$7</f>
        <v>52</v>
      </c>
      <c r="AP5">
        <f>'Company Scorecard'!AV$7</f>
        <v>53</v>
      </c>
      <c r="AQ5">
        <f>'Company Scorecard'!AW$7</f>
        <v>51</v>
      </c>
      <c r="AR5">
        <f>'Company Scorecard'!AX$7</f>
        <v>48</v>
      </c>
      <c r="AS5">
        <f>'Company Scorecard'!AY$7</f>
        <v>48</v>
      </c>
      <c r="AT5" s="154">
        <f>'Company Scorecard'!AZ$7</f>
        <v>49</v>
      </c>
      <c r="AU5">
        <f>'Company Scorecard'!BA$7</f>
        <v>57</v>
      </c>
      <c r="AV5">
        <f>'Company Scorecard'!BB$7</f>
        <v>72</v>
      </c>
      <c r="AW5">
        <f>'Company Scorecard'!BC$7</f>
        <v>83</v>
      </c>
      <c r="AX5">
        <f>'Company Scorecard'!BD$7</f>
        <v>92</v>
      </c>
      <c r="AY5">
        <f>'Company Scorecard'!BE$7</f>
        <v>107</v>
      </c>
      <c r="AZ5" s="154">
        <f>'Company Scorecard'!BF$7</f>
        <v>83</v>
      </c>
      <c r="BA5">
        <f>'Company Scorecard'!BG$7</f>
        <v>118</v>
      </c>
      <c r="BB5">
        <f>'Company Scorecard'!BH$7</f>
        <v>136</v>
      </c>
      <c r="BC5">
        <f>'Company Scorecard'!BI$7</f>
        <v>148</v>
      </c>
      <c r="BD5">
        <f>'Company Scorecard'!BJ$7</f>
        <v>155</v>
      </c>
      <c r="BE5" s="154">
        <f>'Company Scorecard'!BK$7</f>
        <v>139</v>
      </c>
      <c r="BF5">
        <f>'Company Scorecard'!BL$7</f>
        <v>159</v>
      </c>
      <c r="BG5">
        <f>'Company Scorecard'!BM$7</f>
        <v>156</v>
      </c>
      <c r="BH5">
        <f>'Company Scorecard'!BN$7</f>
        <v>155</v>
      </c>
      <c r="BI5">
        <f>'Company Scorecard'!BO$7</f>
        <v>151</v>
      </c>
      <c r="BJ5">
        <f>'Company Scorecard'!BP$7</f>
        <v>146</v>
      </c>
      <c r="BK5" s="154">
        <f>'Company Scorecard'!BQ$7</f>
        <v>152</v>
      </c>
      <c r="BL5">
        <f>'Company Scorecard'!BR$7</f>
        <v>143</v>
      </c>
      <c r="BM5">
        <f>'Company Scorecard'!BS$7</f>
        <v>145</v>
      </c>
      <c r="BN5">
        <f>'Company Scorecard'!BT$7</f>
        <v>148</v>
      </c>
      <c r="BO5">
        <f>'Company Scorecard'!BU$7</f>
        <v>152</v>
      </c>
      <c r="BP5" s="154">
        <f>'Company Scorecard'!BV$7</f>
        <v>145</v>
      </c>
      <c r="BQ5" s="154">
        <f>'Company Scorecard'!BW$7</f>
        <v>158</v>
      </c>
      <c r="BR5" s="154">
        <f>'Company Scorecard'!BX$7</f>
        <v>148</v>
      </c>
      <c r="BS5" s="154">
        <f>'Company Scorecard'!BY$7</f>
        <v>135</v>
      </c>
      <c r="BT5" s="154">
        <f>'Company Scorecard'!BZ$7</f>
        <v>128</v>
      </c>
      <c r="BU5" s="154">
        <f>'Company Scorecard'!CA$7</f>
        <v>140</v>
      </c>
      <c r="BV5" s="154">
        <f>'Company Scorecard'!CB$7</f>
        <v>117</v>
      </c>
      <c r="BW5" s="154">
        <f>'Company Scorecard'!CC$7</f>
        <v>103</v>
      </c>
      <c r="BX5" s="154">
        <f>'Company Scorecard'!CD$7</f>
        <v>89</v>
      </c>
    </row>
    <row r="6" spans="1:76">
      <c r="D6" t="s">
        <v>68</v>
      </c>
      <c r="E6">
        <f>'Company Scorecard'!K$8</f>
        <v>113</v>
      </c>
      <c r="F6">
        <f>'Company Scorecard'!L$8</f>
        <v>112</v>
      </c>
      <c r="G6">
        <f>'Company Scorecard'!M$8</f>
        <v>113</v>
      </c>
      <c r="H6">
        <f>'Company Scorecard'!N$8</f>
        <v>115</v>
      </c>
      <c r="I6" s="154">
        <f>'Company Scorecard'!O$8</f>
        <v>113</v>
      </c>
      <c r="J6">
        <f>'Company Scorecard'!P$8</f>
        <v>112</v>
      </c>
      <c r="K6">
        <f>'Company Scorecard'!Q$8</f>
        <v>115</v>
      </c>
      <c r="L6">
        <f>'Company Scorecard'!R$8</f>
        <v>118</v>
      </c>
      <c r="M6">
        <f>'Company Scorecard'!S$8</f>
        <v>115</v>
      </c>
      <c r="N6" s="154">
        <f>'Company Scorecard'!T8</f>
        <v>114</v>
      </c>
      <c r="O6">
        <f>'Company Scorecard'!U$8</f>
        <v>122</v>
      </c>
      <c r="P6">
        <f>'Company Scorecard'!V$8</f>
        <v>133</v>
      </c>
      <c r="Q6">
        <f>'Company Scorecard'!W$8</f>
        <v>146</v>
      </c>
      <c r="R6">
        <f>'Company Scorecard'!X$8</f>
        <v>157</v>
      </c>
      <c r="S6">
        <f>'Company Scorecard'!Y$8</f>
        <v>176</v>
      </c>
      <c r="T6" s="154">
        <f>'Company Scorecard'!Z$8</f>
        <v>144</v>
      </c>
      <c r="U6">
        <f>'Company Scorecard'!AA$8</f>
        <v>182</v>
      </c>
      <c r="V6">
        <f>'Company Scorecard'!AB$8</f>
        <v>190</v>
      </c>
      <c r="W6">
        <f>'Company Scorecard'!AC$8</f>
        <v>194</v>
      </c>
      <c r="X6">
        <f>'Company Scorecard'!AD$8</f>
        <v>198</v>
      </c>
      <c r="Y6" s="227">
        <f>'Company Scorecard'!AE$8</f>
        <v>187</v>
      </c>
      <c r="Z6" s="227">
        <f>'Company Scorecard'!AF$8</f>
        <v>194</v>
      </c>
      <c r="AA6">
        <f>'Company Scorecard'!AG$8</f>
        <v>190</v>
      </c>
      <c r="AB6">
        <f>'Company Scorecard'!AH$8</f>
        <v>192</v>
      </c>
      <c r="AC6">
        <f>'Company Scorecard'!AI$8</f>
        <v>200</v>
      </c>
      <c r="AD6" s="154">
        <f>'Company Scorecard'!AJ$8</f>
        <v>190</v>
      </c>
      <c r="AE6">
        <f>'Company Scorecard'!AK$8</f>
        <v>214</v>
      </c>
      <c r="AF6">
        <f>'Company Scorecard'!AL$8</f>
        <v>215</v>
      </c>
      <c r="AG6">
        <f>'Company Scorecard'!AM$8</f>
        <v>222</v>
      </c>
      <c r="AH6">
        <f>'Company Scorecard'!AN$8</f>
        <v>226</v>
      </c>
      <c r="AI6">
        <f>'Company Scorecard'!AO$8</f>
        <v>230</v>
      </c>
      <c r="AJ6" s="154">
        <f>'Company Scorecard'!AP$8</f>
        <v>212</v>
      </c>
      <c r="AK6">
        <f>'Company Scorecard'!AQ$8</f>
        <v>236</v>
      </c>
      <c r="AL6">
        <f>'Company Scorecard'!AR$8</f>
        <v>235</v>
      </c>
      <c r="AM6">
        <f>'Company Scorecard'!AS$8</f>
        <v>229</v>
      </c>
      <c r="AN6">
        <f>'Company Scorecard'!AT$8</f>
        <v>222</v>
      </c>
      <c r="AO6" s="154">
        <f>'Company Scorecard'!AU$8</f>
        <v>222</v>
      </c>
      <c r="AP6">
        <f>'Company Scorecard'!AV$8</f>
        <v>217</v>
      </c>
      <c r="AQ6">
        <f>'Company Scorecard'!AW$8</f>
        <v>219</v>
      </c>
      <c r="AR6">
        <f>'Company Scorecard'!AX$8</f>
        <v>223</v>
      </c>
      <c r="AS6">
        <f>'Company Scorecard'!AY$8</f>
        <v>217</v>
      </c>
      <c r="AT6" s="154">
        <f>'Company Scorecard'!AZ$8</f>
        <v>215</v>
      </c>
      <c r="AU6">
        <f>'Company Scorecard'!BA$8</f>
        <v>206</v>
      </c>
      <c r="AV6">
        <f>'Company Scorecard'!BB$8</f>
        <v>187</v>
      </c>
      <c r="AW6">
        <f>'Company Scorecard'!BC$8</f>
        <v>175</v>
      </c>
      <c r="AX6">
        <f>'Company Scorecard'!BD$8</f>
        <v>170</v>
      </c>
      <c r="AY6">
        <f>'Company Scorecard'!BE$8</f>
        <v>161</v>
      </c>
      <c r="AZ6" s="154">
        <f>'Company Scorecard'!BF$8</f>
        <v>176</v>
      </c>
      <c r="BA6">
        <f>'Company Scorecard'!BG$8</f>
        <v>155</v>
      </c>
      <c r="BB6">
        <f>'Company Scorecard'!BH$8</f>
        <v>146</v>
      </c>
      <c r="BC6">
        <f>'Company Scorecard'!BI$8</f>
        <v>140</v>
      </c>
      <c r="BD6">
        <f>'Company Scorecard'!BJ$8</f>
        <v>132</v>
      </c>
      <c r="BE6" s="154">
        <f>'Company Scorecard'!BK$8</f>
        <v>143</v>
      </c>
      <c r="BF6">
        <f>'Company Scorecard'!BL$8</f>
        <v>129</v>
      </c>
      <c r="BG6">
        <f>'Company Scorecard'!BM$8</f>
        <v>123</v>
      </c>
      <c r="BH6">
        <f>'Company Scorecard'!BN$8</f>
        <v>115</v>
      </c>
      <c r="BI6">
        <f>'Company Scorecard'!BO$8</f>
        <v>110</v>
      </c>
      <c r="BJ6">
        <f>'Company Scorecard'!BP$8</f>
        <v>102</v>
      </c>
      <c r="BK6" s="154">
        <f>'Company Scorecard'!BQ$8</f>
        <v>116</v>
      </c>
      <c r="BL6">
        <f>'Company Scorecard'!BR$8</f>
        <v>94</v>
      </c>
      <c r="BM6">
        <f>'Company Scorecard'!BS$8</f>
        <v>88</v>
      </c>
      <c r="BN6">
        <f>'Company Scorecard'!BT$8</f>
        <v>84</v>
      </c>
      <c r="BO6">
        <f>'Company Scorecard'!BU$8</f>
        <v>85</v>
      </c>
      <c r="BP6" s="154">
        <f>'Company Scorecard'!BV$8</f>
        <v>88</v>
      </c>
      <c r="BQ6" s="154">
        <f>'Company Scorecard'!BW$8</f>
        <v>88</v>
      </c>
      <c r="BR6" s="154">
        <f>'Company Scorecard'!BX$8</f>
        <v>102</v>
      </c>
      <c r="BS6" s="154">
        <f>'Company Scorecard'!BY$8</f>
        <v>119</v>
      </c>
      <c r="BT6" s="154">
        <f>'Company Scorecard'!BZ$8</f>
        <v>129</v>
      </c>
      <c r="BU6" s="154">
        <f>'Company Scorecard'!CA$8</f>
        <v>108</v>
      </c>
      <c r="BV6" s="154">
        <f>'Company Scorecard'!CB$8</f>
        <v>138</v>
      </c>
      <c r="BW6" s="154">
        <f>'Company Scorecard'!CC$8</f>
        <v>154</v>
      </c>
      <c r="BX6" s="154">
        <f>'Company Scorecard'!CD$8</f>
        <v>167</v>
      </c>
    </row>
    <row r="7" spans="1:76">
      <c r="D7" s="9" t="s">
        <v>74</v>
      </c>
      <c r="E7" s="9">
        <f t="shared" ref="E7:AH7" si="1">E5+E6</f>
        <v>266</v>
      </c>
      <c r="F7" s="9">
        <f t="shared" si="1"/>
        <v>264</v>
      </c>
      <c r="G7" s="9">
        <f t="shared" si="1"/>
        <v>262</v>
      </c>
      <c r="H7" s="9">
        <f t="shared" si="1"/>
        <v>265</v>
      </c>
      <c r="I7" s="160">
        <f t="shared" si="1"/>
        <v>261</v>
      </c>
      <c r="J7" s="9">
        <f t="shared" si="1"/>
        <v>262</v>
      </c>
      <c r="K7" s="9">
        <f t="shared" si="1"/>
        <v>268</v>
      </c>
      <c r="L7" s="9">
        <f t="shared" si="1"/>
        <v>274</v>
      </c>
      <c r="M7" s="9">
        <f t="shared" si="1"/>
        <v>277</v>
      </c>
      <c r="N7" s="160">
        <f>N5+N6</f>
        <v>268</v>
      </c>
      <c r="O7" s="9">
        <f t="shared" si="1"/>
        <v>278</v>
      </c>
      <c r="P7" s="9">
        <f t="shared" si="1"/>
        <v>278</v>
      </c>
      <c r="Q7" s="9">
        <f t="shared" si="1"/>
        <v>283</v>
      </c>
      <c r="R7" s="9">
        <f t="shared" si="1"/>
        <v>287</v>
      </c>
      <c r="S7" s="9">
        <f t="shared" si="1"/>
        <v>298</v>
      </c>
      <c r="T7" s="160">
        <f t="shared" si="1"/>
        <v>279</v>
      </c>
      <c r="U7" s="9">
        <f t="shared" si="1"/>
        <v>292</v>
      </c>
      <c r="V7" s="9">
        <f t="shared" si="1"/>
        <v>292</v>
      </c>
      <c r="W7" s="9">
        <f t="shared" si="1"/>
        <v>289</v>
      </c>
      <c r="X7" s="9">
        <f t="shared" si="1"/>
        <v>286</v>
      </c>
      <c r="Y7" s="228">
        <f t="shared" si="1"/>
        <v>285</v>
      </c>
      <c r="Z7" s="228">
        <f t="shared" si="1"/>
        <v>277</v>
      </c>
      <c r="AA7" s="9">
        <f t="shared" si="1"/>
        <v>267</v>
      </c>
      <c r="AB7" s="9">
        <f t="shared" si="1"/>
        <v>263</v>
      </c>
      <c r="AC7" s="9">
        <f t="shared" si="1"/>
        <v>269</v>
      </c>
      <c r="AD7" s="160">
        <f t="shared" si="1"/>
        <v>262</v>
      </c>
      <c r="AE7" s="228">
        <f t="shared" si="1"/>
        <v>279</v>
      </c>
      <c r="AF7" s="9">
        <f t="shared" si="1"/>
        <v>279</v>
      </c>
      <c r="AG7" s="9">
        <f t="shared" si="1"/>
        <v>285</v>
      </c>
      <c r="AH7" s="9">
        <f t="shared" si="1"/>
        <v>287</v>
      </c>
      <c r="AI7" s="9">
        <f>AI5+AI6</f>
        <v>288</v>
      </c>
      <c r="AJ7" s="160">
        <f t="shared" ref="AJ7" si="2">AJ5+AJ6</f>
        <v>271</v>
      </c>
      <c r="AK7" s="9">
        <f>AK5+AK6</f>
        <v>291</v>
      </c>
      <c r="AL7" s="9">
        <f>AL5+AL6</f>
        <v>288</v>
      </c>
      <c r="AM7" s="9">
        <f>AM5+AM6</f>
        <v>282</v>
      </c>
      <c r="AN7" s="9">
        <f>AN5+AN6</f>
        <v>274</v>
      </c>
      <c r="AO7" s="160">
        <f t="shared" ref="AO7:BX7" si="3">AO5+AO6</f>
        <v>274</v>
      </c>
      <c r="AP7" s="9">
        <f t="shared" si="3"/>
        <v>270</v>
      </c>
      <c r="AQ7" s="9">
        <f t="shared" si="3"/>
        <v>270</v>
      </c>
      <c r="AR7" s="9">
        <f t="shared" si="3"/>
        <v>271</v>
      </c>
      <c r="AS7" s="9">
        <f t="shared" si="3"/>
        <v>265</v>
      </c>
      <c r="AT7" s="160">
        <f t="shared" si="3"/>
        <v>264</v>
      </c>
      <c r="AU7" s="9">
        <f t="shared" si="3"/>
        <v>263</v>
      </c>
      <c r="AV7" s="9">
        <f t="shared" si="3"/>
        <v>259</v>
      </c>
      <c r="AW7" s="9">
        <f t="shared" si="3"/>
        <v>258</v>
      </c>
      <c r="AX7" s="9">
        <f t="shared" si="3"/>
        <v>262</v>
      </c>
      <c r="AY7" s="9">
        <f t="shared" si="3"/>
        <v>268</v>
      </c>
      <c r="AZ7" s="160">
        <f t="shared" si="3"/>
        <v>259</v>
      </c>
      <c r="BA7" s="9">
        <f t="shared" si="3"/>
        <v>273</v>
      </c>
      <c r="BB7" s="9">
        <f t="shared" si="3"/>
        <v>282</v>
      </c>
      <c r="BC7" s="9">
        <f t="shared" si="3"/>
        <v>288</v>
      </c>
      <c r="BD7" s="9">
        <f t="shared" si="3"/>
        <v>287</v>
      </c>
      <c r="BE7" s="160">
        <f t="shared" si="3"/>
        <v>282</v>
      </c>
      <c r="BF7" s="9">
        <f t="shared" si="3"/>
        <v>288</v>
      </c>
      <c r="BG7" s="9">
        <f t="shared" si="3"/>
        <v>279</v>
      </c>
      <c r="BH7" s="9">
        <f t="shared" si="3"/>
        <v>270</v>
      </c>
      <c r="BI7" s="9">
        <f t="shared" si="3"/>
        <v>261</v>
      </c>
      <c r="BJ7" s="9">
        <f t="shared" si="3"/>
        <v>248</v>
      </c>
      <c r="BK7" s="160">
        <f t="shared" si="3"/>
        <v>268</v>
      </c>
      <c r="BL7" s="9">
        <f t="shared" si="3"/>
        <v>237</v>
      </c>
      <c r="BM7" s="9">
        <f t="shared" si="3"/>
        <v>233</v>
      </c>
      <c r="BN7" s="9">
        <f t="shared" si="3"/>
        <v>232</v>
      </c>
      <c r="BO7" s="9">
        <f t="shared" si="3"/>
        <v>237</v>
      </c>
      <c r="BP7" s="160">
        <f t="shared" si="3"/>
        <v>233</v>
      </c>
      <c r="BQ7" s="160">
        <f t="shared" si="3"/>
        <v>246</v>
      </c>
      <c r="BR7" s="160">
        <f t="shared" si="3"/>
        <v>250</v>
      </c>
      <c r="BS7" s="160">
        <f t="shared" si="3"/>
        <v>254</v>
      </c>
      <c r="BT7" s="160">
        <f t="shared" si="3"/>
        <v>257</v>
      </c>
      <c r="BU7" s="160">
        <f t="shared" si="3"/>
        <v>248</v>
      </c>
      <c r="BV7" s="160">
        <f t="shared" si="3"/>
        <v>255</v>
      </c>
      <c r="BW7" s="160">
        <f t="shared" si="3"/>
        <v>257</v>
      </c>
      <c r="BX7" s="160">
        <f t="shared" si="3"/>
        <v>256</v>
      </c>
    </row>
    <row r="8" spans="1:76" s="11" customFormat="1">
      <c r="A8" s="10" t="s">
        <v>81</v>
      </c>
      <c r="B8" s="10"/>
      <c r="C8" s="54" t="s">
        <v>2</v>
      </c>
      <c r="I8" s="153"/>
      <c r="N8" s="153"/>
      <c r="T8" s="153"/>
      <c r="Y8" s="229"/>
      <c r="Z8" s="229"/>
      <c r="AD8" s="153"/>
      <c r="AE8" s="229"/>
      <c r="AJ8" s="153"/>
      <c r="AO8" s="153"/>
      <c r="AT8" s="153"/>
      <c r="AZ8" s="153"/>
      <c r="BE8" s="153"/>
      <c r="BK8" s="153"/>
      <c r="BP8" s="153"/>
      <c r="BQ8" s="153"/>
      <c r="BR8" s="153"/>
      <c r="BS8" s="153"/>
      <c r="BT8" s="153"/>
      <c r="BU8" s="153"/>
      <c r="BV8" s="153"/>
      <c r="BW8" s="153"/>
      <c r="BX8" s="153"/>
    </row>
    <row r="9" spans="1:76">
      <c r="D9" t="s">
        <v>84</v>
      </c>
      <c r="E9">
        <f t="shared" ref="E9:BP9" si="4">E7/2.5</f>
        <v>106.4</v>
      </c>
      <c r="F9">
        <f t="shared" si="4"/>
        <v>105.6</v>
      </c>
      <c r="G9">
        <f t="shared" si="4"/>
        <v>104.8</v>
      </c>
      <c r="H9">
        <f t="shared" si="4"/>
        <v>106</v>
      </c>
      <c r="I9" s="154">
        <f t="shared" si="4"/>
        <v>104.4</v>
      </c>
      <c r="J9">
        <f t="shared" si="4"/>
        <v>104.8</v>
      </c>
      <c r="K9">
        <f t="shared" si="4"/>
        <v>107.2</v>
      </c>
      <c r="L9">
        <f t="shared" si="4"/>
        <v>109.6</v>
      </c>
      <c r="M9">
        <f t="shared" si="4"/>
        <v>110.8</v>
      </c>
      <c r="N9" s="154">
        <f>N7/2.5</f>
        <v>107.2</v>
      </c>
      <c r="O9">
        <f t="shared" si="4"/>
        <v>111.2</v>
      </c>
      <c r="P9">
        <f t="shared" si="4"/>
        <v>111.2</v>
      </c>
      <c r="Q9">
        <f t="shared" si="4"/>
        <v>113.2</v>
      </c>
      <c r="R9">
        <f t="shared" si="4"/>
        <v>114.8</v>
      </c>
      <c r="S9">
        <f t="shared" si="4"/>
        <v>119.2</v>
      </c>
      <c r="T9" s="154">
        <f t="shared" si="4"/>
        <v>111.6</v>
      </c>
      <c r="U9">
        <f t="shared" si="4"/>
        <v>116.8</v>
      </c>
      <c r="V9">
        <f t="shared" si="4"/>
        <v>116.8</v>
      </c>
      <c r="W9">
        <f t="shared" si="4"/>
        <v>115.6</v>
      </c>
      <c r="X9">
        <f t="shared" si="4"/>
        <v>114.4</v>
      </c>
      <c r="Y9" s="227">
        <f t="shared" si="4"/>
        <v>114</v>
      </c>
      <c r="Z9" s="227">
        <f t="shared" si="4"/>
        <v>110.8</v>
      </c>
      <c r="AA9">
        <f t="shared" si="4"/>
        <v>106.8</v>
      </c>
      <c r="AB9">
        <f t="shared" si="4"/>
        <v>105.2</v>
      </c>
      <c r="AC9">
        <f t="shared" si="4"/>
        <v>107.6</v>
      </c>
      <c r="AD9" s="154">
        <f t="shared" si="4"/>
        <v>104.8</v>
      </c>
      <c r="AE9">
        <f t="shared" si="4"/>
        <v>111.6</v>
      </c>
      <c r="AF9">
        <f t="shared" si="4"/>
        <v>111.6</v>
      </c>
      <c r="AG9">
        <f t="shared" si="4"/>
        <v>114</v>
      </c>
      <c r="AH9">
        <f t="shared" si="4"/>
        <v>114.8</v>
      </c>
      <c r="AI9">
        <f t="shared" si="4"/>
        <v>115.2</v>
      </c>
      <c r="AJ9" s="154">
        <f t="shared" si="4"/>
        <v>108.4</v>
      </c>
      <c r="AK9">
        <f t="shared" si="4"/>
        <v>116.4</v>
      </c>
      <c r="AL9">
        <f t="shared" si="4"/>
        <v>115.2</v>
      </c>
      <c r="AM9">
        <f t="shared" si="4"/>
        <v>112.8</v>
      </c>
      <c r="AN9">
        <f t="shared" si="4"/>
        <v>109.6</v>
      </c>
      <c r="AO9" s="154">
        <f t="shared" si="4"/>
        <v>109.6</v>
      </c>
      <c r="AP9">
        <f t="shared" si="4"/>
        <v>108</v>
      </c>
      <c r="AQ9">
        <f t="shared" si="4"/>
        <v>108</v>
      </c>
      <c r="AR9">
        <f t="shared" si="4"/>
        <v>108.4</v>
      </c>
      <c r="AS9">
        <f t="shared" si="4"/>
        <v>106</v>
      </c>
      <c r="AT9" s="154">
        <f t="shared" si="4"/>
        <v>105.6</v>
      </c>
      <c r="AU9">
        <f t="shared" si="4"/>
        <v>105.2</v>
      </c>
      <c r="AV9">
        <f t="shared" si="4"/>
        <v>103.6</v>
      </c>
      <c r="AW9">
        <f t="shared" si="4"/>
        <v>103.2</v>
      </c>
      <c r="AX9">
        <f t="shared" si="4"/>
        <v>104.8</v>
      </c>
      <c r="AY9">
        <f t="shared" si="4"/>
        <v>107.2</v>
      </c>
      <c r="AZ9" s="154">
        <f t="shared" si="4"/>
        <v>103.6</v>
      </c>
      <c r="BA9">
        <f t="shared" si="4"/>
        <v>109.2</v>
      </c>
      <c r="BB9">
        <f t="shared" si="4"/>
        <v>112.8</v>
      </c>
      <c r="BC9">
        <f t="shared" si="4"/>
        <v>115.2</v>
      </c>
      <c r="BD9">
        <f t="shared" si="4"/>
        <v>114.8</v>
      </c>
      <c r="BE9" s="154">
        <f t="shared" si="4"/>
        <v>112.8</v>
      </c>
      <c r="BF9">
        <f t="shared" si="4"/>
        <v>115.2</v>
      </c>
      <c r="BG9">
        <f t="shared" si="4"/>
        <v>111.6</v>
      </c>
      <c r="BH9">
        <f t="shared" si="4"/>
        <v>108</v>
      </c>
      <c r="BI9">
        <f t="shared" si="4"/>
        <v>104.4</v>
      </c>
      <c r="BJ9">
        <f t="shared" si="4"/>
        <v>99.2</v>
      </c>
      <c r="BK9" s="154">
        <f t="shared" si="4"/>
        <v>107.2</v>
      </c>
      <c r="BL9">
        <f t="shared" si="4"/>
        <v>94.8</v>
      </c>
      <c r="BM9">
        <f t="shared" si="4"/>
        <v>93.2</v>
      </c>
      <c r="BN9">
        <f t="shared" si="4"/>
        <v>92.8</v>
      </c>
      <c r="BO9">
        <f t="shared" si="4"/>
        <v>94.8</v>
      </c>
      <c r="BP9" s="154">
        <f t="shared" si="4"/>
        <v>93.2</v>
      </c>
      <c r="BQ9" s="154">
        <f t="shared" ref="BQ9:BX9" si="5">BQ7/2.5</f>
        <v>98.4</v>
      </c>
      <c r="BR9" s="154">
        <f t="shared" si="5"/>
        <v>100</v>
      </c>
      <c r="BS9" s="154">
        <f t="shared" si="5"/>
        <v>101.6</v>
      </c>
      <c r="BT9" s="154">
        <f t="shared" si="5"/>
        <v>102.8</v>
      </c>
      <c r="BU9" s="154">
        <f t="shared" si="5"/>
        <v>99.2</v>
      </c>
      <c r="BV9" s="154">
        <f t="shared" si="5"/>
        <v>102</v>
      </c>
      <c r="BW9" s="154">
        <f t="shared" si="5"/>
        <v>102.8</v>
      </c>
      <c r="BX9" s="154">
        <f t="shared" si="5"/>
        <v>102.4</v>
      </c>
    </row>
    <row r="10" spans="1:76" s="11" customFormat="1">
      <c r="A10" s="10" t="s">
        <v>282</v>
      </c>
      <c r="B10" s="10"/>
      <c r="C10" s="54" t="s">
        <v>2</v>
      </c>
      <c r="I10" s="153"/>
      <c r="N10" s="153"/>
      <c r="T10" s="153"/>
      <c r="Y10" s="229"/>
      <c r="Z10" s="229"/>
      <c r="AD10" s="153"/>
      <c r="AE10" s="229"/>
      <c r="AJ10" s="153"/>
      <c r="AO10" s="153"/>
      <c r="AT10" s="153"/>
      <c r="AZ10" s="153"/>
      <c r="BE10" s="153"/>
      <c r="BK10" s="153"/>
      <c r="BP10" s="153"/>
      <c r="BQ10" s="153"/>
      <c r="BR10" s="153"/>
      <c r="BS10" s="153"/>
      <c r="BT10" s="153"/>
      <c r="BU10" s="153"/>
      <c r="BV10" s="153"/>
      <c r="BW10" s="153"/>
      <c r="BX10" s="153"/>
    </row>
    <row r="11" spans="1:76">
      <c r="D11" t="s">
        <v>67</v>
      </c>
      <c r="E11">
        <f>'Company Scorecard'!K20</f>
        <v>9</v>
      </c>
      <c r="F11">
        <f>'Company Scorecard'!L20</f>
        <v>9</v>
      </c>
      <c r="G11">
        <f>'Company Scorecard'!M20</f>
        <v>9</v>
      </c>
      <c r="H11">
        <v>9</v>
      </c>
      <c r="I11" s="154">
        <v>10</v>
      </c>
      <c r="J11">
        <f>'Company Scorecard'!P20</f>
        <v>12</v>
      </c>
      <c r="K11">
        <f>'Company Scorecard'!Q20</f>
        <v>13</v>
      </c>
      <c r="L11">
        <f>'Company Scorecard'!R20</f>
        <v>13</v>
      </c>
      <c r="M11">
        <f>'Company Scorecard'!S20</f>
        <v>10</v>
      </c>
      <c r="N11" s="154">
        <f>'Company Scorecard'!$T$20</f>
        <v>50</v>
      </c>
      <c r="O11">
        <f>'Company Scorecard'!U20</f>
        <v>0</v>
      </c>
      <c r="P11">
        <f>'Company Scorecard'!V20</f>
        <v>0</v>
      </c>
      <c r="Q11">
        <f>'Company Scorecard'!W20</f>
        <v>0</v>
      </c>
      <c r="R11">
        <f>'Company Scorecard'!X20</f>
        <v>1</v>
      </c>
      <c r="S11">
        <f>'Company Scorecard'!Y20</f>
        <v>0</v>
      </c>
      <c r="T11" s="154">
        <f>'Company Scorecard'!Z$20</f>
        <v>1</v>
      </c>
      <c r="U11">
        <f>'Company Scorecard'!AA20</f>
        <v>0</v>
      </c>
      <c r="V11">
        <f>'Company Scorecard'!AB20</f>
        <v>0</v>
      </c>
      <c r="W11">
        <f>'Company Scorecard'!AC20</f>
        <v>0</v>
      </c>
      <c r="X11">
        <f>'Company Scorecard'!AD20</f>
        <v>0</v>
      </c>
      <c r="Y11" s="227">
        <f>'Company Scorecard'!AE$20</f>
        <v>0</v>
      </c>
      <c r="Z11" s="227">
        <f>'Company Scorecard'!AF20</f>
        <v>0</v>
      </c>
      <c r="AA11">
        <f>'Company Scorecard'!AG20</f>
        <v>0</v>
      </c>
      <c r="AB11">
        <f>'Company Scorecard'!AH20</f>
        <v>0</v>
      </c>
      <c r="AC11">
        <f>'Company Scorecard'!AI20</f>
        <v>0</v>
      </c>
      <c r="AD11" s="154">
        <f>'Company Scorecard'!AJ$20</f>
        <v>0</v>
      </c>
      <c r="AE11">
        <f>'Company Scorecard'!AK20</f>
        <v>1</v>
      </c>
      <c r="AF11">
        <f>'Company Scorecard'!AL20</f>
        <v>0</v>
      </c>
      <c r="AG11">
        <f>'Company Scorecard'!AM20</f>
        <v>0</v>
      </c>
      <c r="AH11">
        <f>'Company Scorecard'!AN20</f>
        <v>1</v>
      </c>
      <c r="AI11">
        <f>'Company Scorecard'!AO20</f>
        <v>0</v>
      </c>
      <c r="AJ11" s="154">
        <f>'Company Scorecard'!AP$20</f>
        <v>2</v>
      </c>
      <c r="AK11">
        <f>'Company Scorecard'!AQ20</f>
        <v>0</v>
      </c>
      <c r="AL11">
        <f>'Company Scorecard'!AR20</f>
        <v>1</v>
      </c>
      <c r="AM11">
        <f>'Company Scorecard'!AS20</f>
        <v>1</v>
      </c>
      <c r="AN11">
        <f>'Company Scorecard'!AT20</f>
        <v>1</v>
      </c>
      <c r="AO11" s="154">
        <f>'Company Scorecard'!AU$20</f>
        <v>3</v>
      </c>
      <c r="AP11">
        <f>'Company Scorecard'!AV20</f>
        <v>3</v>
      </c>
      <c r="AQ11">
        <f>'Company Scorecard'!AW20</f>
        <v>0</v>
      </c>
      <c r="AR11">
        <f>'Company Scorecard'!AX20</f>
        <v>1</v>
      </c>
      <c r="AS11">
        <f>'Company Scorecard'!AY20</f>
        <v>6</v>
      </c>
      <c r="AT11" s="154">
        <f>'Company Scorecard'!AZ$20</f>
        <v>16</v>
      </c>
      <c r="AU11">
        <f>'Company Scorecard'!BA20</f>
        <v>17</v>
      </c>
      <c r="AV11">
        <f>'Company Scorecard'!BB20</f>
        <v>17</v>
      </c>
      <c r="AW11">
        <f>'Company Scorecard'!BC20</f>
        <v>9</v>
      </c>
      <c r="AX11">
        <f>'Company Scorecard'!BD20</f>
        <v>19</v>
      </c>
      <c r="AY11">
        <f>'Company Scorecard'!BE20</f>
        <v>22</v>
      </c>
      <c r="AZ11" s="154">
        <f>'Company Scorecard'!BF$20</f>
        <v>74</v>
      </c>
      <c r="BA11">
        <f>'Company Scorecard'!BG20</f>
        <v>21</v>
      </c>
      <c r="BB11">
        <f>'Company Scorecard'!BH20</f>
        <v>21</v>
      </c>
      <c r="BC11">
        <f>'Company Scorecard'!BI20</f>
        <v>22</v>
      </c>
      <c r="BD11">
        <f>'Company Scorecard'!BJ20</f>
        <v>13</v>
      </c>
      <c r="BE11" s="154">
        <f>'Company Scorecard'!BK$20</f>
        <v>83</v>
      </c>
      <c r="BF11">
        <f>'Company Scorecard'!BL20</f>
        <v>19</v>
      </c>
      <c r="BG11">
        <f>'Company Scorecard'!BM20</f>
        <v>14</v>
      </c>
      <c r="BH11">
        <f>'Company Scorecard'!BN20</f>
        <v>18</v>
      </c>
      <c r="BI11">
        <f>'Company Scorecard'!BO20</f>
        <v>6</v>
      </c>
      <c r="BJ11">
        <f>'Company Scorecard'!BP20</f>
        <v>8</v>
      </c>
      <c r="BK11" s="154">
        <f>'Company Scorecard'!BQ$20</f>
        <v>62</v>
      </c>
      <c r="BL11">
        <f>'Company Scorecard'!BR20</f>
        <v>17</v>
      </c>
      <c r="BM11">
        <f>'Company Scorecard'!BS20</f>
        <v>22</v>
      </c>
      <c r="BN11">
        <f>'Company Scorecard'!BT20</f>
        <v>10</v>
      </c>
      <c r="BO11">
        <f>'Company Scorecard'!BU20</f>
        <v>18</v>
      </c>
      <c r="BP11" s="154">
        <f>'Company Scorecard'!BV$20</f>
        <v>71</v>
      </c>
      <c r="BQ11" s="154">
        <f>'Company Scorecard'!BW$20</f>
        <v>11</v>
      </c>
      <c r="BR11" s="154">
        <f>'Company Scorecard'!BX$20</f>
        <v>0</v>
      </c>
      <c r="BS11" s="154">
        <f>'Company Scorecard'!BY$20</f>
        <v>1</v>
      </c>
      <c r="BT11" s="154">
        <f>'Company Scorecard'!BZ$20</f>
        <v>0</v>
      </c>
      <c r="BU11" s="154">
        <f>'Company Scorecard'!CA$20</f>
        <v>11</v>
      </c>
      <c r="BV11" s="154">
        <f>'Company Scorecard'!CB$20</f>
        <v>0</v>
      </c>
      <c r="BW11" s="154">
        <f>'Company Scorecard'!CC$20</f>
        <v>0</v>
      </c>
      <c r="BX11" s="154">
        <f>'Company Scorecard'!CD$20</f>
        <v>0</v>
      </c>
    </row>
    <row r="12" spans="1:76">
      <c r="D12" t="s">
        <v>68</v>
      </c>
      <c r="E12">
        <f>'Company Scorecard'!K21</f>
        <v>11</v>
      </c>
      <c r="F12">
        <f>'Company Scorecard'!L21</f>
        <v>10</v>
      </c>
      <c r="G12">
        <f>'Company Scorecard'!M21</f>
        <v>12</v>
      </c>
      <c r="H12">
        <f>'Company Scorecard'!N21</f>
        <v>10</v>
      </c>
      <c r="I12" s="154">
        <f>'Company Scorecard'!O21</f>
        <v>43</v>
      </c>
      <c r="J12">
        <f>'Company Scorecard'!P21</f>
        <v>9</v>
      </c>
      <c r="K12">
        <f>'Company Scorecard'!Q21</f>
        <v>7</v>
      </c>
      <c r="L12">
        <f>'Company Scorecard'!R21</f>
        <v>8</v>
      </c>
      <c r="M12">
        <f>'Company Scorecard'!S21</f>
        <v>5</v>
      </c>
      <c r="N12" s="154">
        <f>'Company Scorecard'!$T$21</f>
        <v>32</v>
      </c>
      <c r="O12">
        <f>'Company Scorecard'!U21</f>
        <v>28</v>
      </c>
      <c r="P12">
        <f>'Company Scorecard'!V21</f>
        <v>20</v>
      </c>
      <c r="Q12">
        <f>'Company Scorecard'!W21</f>
        <v>19</v>
      </c>
      <c r="R12">
        <f>'Company Scorecard'!X21</f>
        <v>23</v>
      </c>
      <c r="S12">
        <f>'Company Scorecard'!Y21</f>
        <v>25</v>
      </c>
      <c r="T12" s="154">
        <f>'Company Scorecard'!Z$21</f>
        <v>107</v>
      </c>
      <c r="U12">
        <f>'Company Scorecard'!AA21</f>
        <v>22</v>
      </c>
      <c r="V12">
        <f>'Company Scorecard'!AB21</f>
        <v>19</v>
      </c>
      <c r="W12">
        <f>'Company Scorecard'!AC21</f>
        <v>17</v>
      </c>
      <c r="X12">
        <f>'Company Scorecard'!AD21</f>
        <v>18</v>
      </c>
      <c r="Y12" s="227">
        <f>'Company Scorecard'!AE$21</f>
        <v>80</v>
      </c>
      <c r="Z12" s="227">
        <f>'Company Scorecard'!AF21</f>
        <v>10</v>
      </c>
      <c r="AA12">
        <f>'Company Scorecard'!AG21</f>
        <v>15</v>
      </c>
      <c r="AB12">
        <f>'Company Scorecard'!AH21</f>
        <v>21</v>
      </c>
      <c r="AC12">
        <f>'Company Scorecard'!AI21</f>
        <v>22</v>
      </c>
      <c r="AD12" s="154">
        <f>'Company Scorecard'!AJ$21</f>
        <v>72</v>
      </c>
      <c r="AE12">
        <f>'Company Scorecard'!AK21</f>
        <v>17</v>
      </c>
      <c r="AF12">
        <f>'Company Scorecard'!AL21</f>
        <v>11</v>
      </c>
      <c r="AG12">
        <f>'Company Scorecard'!AM21</f>
        <v>18</v>
      </c>
      <c r="AH12">
        <f>'Company Scorecard'!AN21</f>
        <v>14</v>
      </c>
      <c r="AI12">
        <f>'Company Scorecard'!AO21</f>
        <v>17</v>
      </c>
      <c r="AJ12" s="154">
        <f>'Company Scorecard'!AP$21</f>
        <v>65</v>
      </c>
      <c r="AK12">
        <f>'Company Scorecard'!AQ21</f>
        <v>14</v>
      </c>
      <c r="AL12">
        <f>'Company Scorecard'!AR21</f>
        <v>20</v>
      </c>
      <c r="AM12">
        <f>'Company Scorecard'!AS21</f>
        <v>8</v>
      </c>
      <c r="AN12">
        <f>'Company Scorecard'!AT21</f>
        <v>12</v>
      </c>
      <c r="AO12" s="154">
        <f>'Company Scorecard'!AU$21</f>
        <v>60</v>
      </c>
      <c r="AP12">
        <f>'Company Scorecard'!AV21</f>
        <v>15</v>
      </c>
      <c r="AQ12">
        <f>'Company Scorecard'!AW21</f>
        <v>18</v>
      </c>
      <c r="AR12">
        <f>'Company Scorecard'!AX21</f>
        <v>14</v>
      </c>
      <c r="AS12">
        <f>'Company Scorecard'!AY21</f>
        <v>4</v>
      </c>
      <c r="AT12" s="154">
        <f>'Company Scorecard'!AZ$21</f>
        <v>55</v>
      </c>
      <c r="AU12">
        <f>'Company Scorecard'!BA21</f>
        <v>6</v>
      </c>
      <c r="AV12">
        <f>'Company Scorecard'!BB21</f>
        <v>1</v>
      </c>
      <c r="AW12">
        <f>'Company Scorecard'!BC21</f>
        <v>6</v>
      </c>
      <c r="AX12">
        <f>'Company Scorecard'!BD21</f>
        <v>4</v>
      </c>
      <c r="AY12">
        <f>'Company Scorecard'!BE21</f>
        <v>3</v>
      </c>
      <c r="AZ12" s="154">
        <f>'Company Scorecard'!BF$21</f>
        <v>15</v>
      </c>
      <c r="BA12">
        <f>'Company Scorecard'!BG21</f>
        <v>2</v>
      </c>
      <c r="BB12">
        <f>'Company Scorecard'!BH21</f>
        <v>1</v>
      </c>
      <c r="BC12">
        <f>'Company Scorecard'!BI21</f>
        <v>0</v>
      </c>
      <c r="BD12">
        <f>'Company Scorecard'!BJ21</f>
        <v>0</v>
      </c>
      <c r="BE12" s="154">
        <f>'Company Scorecard'!BK$21</f>
        <v>4</v>
      </c>
      <c r="BF12">
        <f>'Company Scorecard'!BL21</f>
        <v>3</v>
      </c>
      <c r="BG12">
        <f>'Company Scorecard'!BM21</f>
        <v>8</v>
      </c>
      <c r="BH12">
        <f>'Company Scorecard'!BN21</f>
        <v>0</v>
      </c>
      <c r="BI12">
        <f>'Company Scorecard'!BO21</f>
        <v>5</v>
      </c>
      <c r="BJ12">
        <f>'Company Scorecard'!BP21</f>
        <v>0</v>
      </c>
      <c r="BK12" s="154">
        <f>'Company Scorecard'!BQ$21</f>
        <v>16</v>
      </c>
      <c r="BL12">
        <f>'Company Scorecard'!BR21</f>
        <v>7</v>
      </c>
      <c r="BM12">
        <f>'Company Scorecard'!BS21</f>
        <v>2</v>
      </c>
      <c r="BN12">
        <f>'Company Scorecard'!BT21</f>
        <v>8</v>
      </c>
      <c r="BO12">
        <f>'Company Scorecard'!BU21</f>
        <v>3</v>
      </c>
      <c r="BP12" s="154">
        <f>'Company Scorecard'!BV$21</f>
        <v>20</v>
      </c>
      <c r="BQ12" s="154">
        <f>'Company Scorecard'!BW$21</f>
        <v>15</v>
      </c>
      <c r="BR12" s="154">
        <f>'Company Scorecard'!BX$21</f>
        <v>20</v>
      </c>
      <c r="BS12" s="154">
        <f>'Company Scorecard'!BY$21</f>
        <v>22</v>
      </c>
      <c r="BT12" s="154">
        <f>'Company Scorecard'!BZ$21</f>
        <v>19</v>
      </c>
      <c r="BU12" s="154">
        <f>'Company Scorecard'!CA$21</f>
        <v>73</v>
      </c>
      <c r="BV12" s="154">
        <f>'Company Scorecard'!CB$21</f>
        <v>17</v>
      </c>
      <c r="BW12" s="154">
        <f>'Company Scorecard'!CC$21</f>
        <v>24</v>
      </c>
      <c r="BX12" s="154">
        <f>'Company Scorecard'!CD$21</f>
        <v>15</v>
      </c>
    </row>
    <row r="13" spans="1:76" s="11" customFormat="1">
      <c r="A13" s="10" t="s">
        <v>343</v>
      </c>
      <c r="B13" s="10"/>
      <c r="C13" s="54" t="s">
        <v>2</v>
      </c>
      <c r="I13" s="153"/>
      <c r="N13" s="153"/>
      <c r="T13" s="153"/>
      <c r="Y13" s="229"/>
      <c r="Z13" s="229"/>
      <c r="AD13" s="153"/>
      <c r="AE13" s="229"/>
      <c r="AJ13" s="153"/>
      <c r="AO13" s="153"/>
      <c r="AT13" s="153"/>
      <c r="AZ13" s="153"/>
      <c r="BE13" s="153"/>
      <c r="BK13" s="153"/>
      <c r="BP13" s="153"/>
      <c r="BQ13" s="153"/>
      <c r="BR13" s="153"/>
      <c r="BS13" s="153"/>
      <c r="BT13" s="153"/>
      <c r="BU13" s="153"/>
      <c r="BV13" s="153"/>
      <c r="BW13" s="153"/>
      <c r="BX13" s="153"/>
    </row>
    <row r="14" spans="1:76">
      <c r="B14" t="s">
        <v>344</v>
      </c>
      <c r="D14" t="s">
        <v>67</v>
      </c>
      <c r="H14" s="26"/>
      <c r="I14" s="161">
        <v>0.42399999999999999</v>
      </c>
      <c r="J14" s="15">
        <f>9/21</f>
        <v>0.42857142857142855</v>
      </c>
      <c r="K14" s="15"/>
      <c r="L14" s="15"/>
      <c r="M14" s="15"/>
      <c r="N14" s="161">
        <v>0.46700000000000003</v>
      </c>
      <c r="O14" s="15"/>
      <c r="P14" s="15"/>
      <c r="Q14" s="15"/>
      <c r="R14" s="15"/>
      <c r="S14" s="15"/>
      <c r="T14" s="161">
        <v>0.5</v>
      </c>
      <c r="U14" s="15"/>
      <c r="V14" s="15"/>
      <c r="W14" s="15"/>
      <c r="X14" s="15"/>
      <c r="Y14" s="230">
        <v>0</v>
      </c>
      <c r="Z14" s="231"/>
      <c r="AA14" s="26"/>
      <c r="AB14" s="26"/>
      <c r="AC14" s="26"/>
      <c r="AD14" s="161">
        <v>0</v>
      </c>
      <c r="AE14" s="231"/>
      <c r="AF14" s="26"/>
      <c r="AG14" s="26"/>
      <c r="AH14" s="26"/>
      <c r="AI14" s="26"/>
      <c r="AJ14" s="161">
        <v>0.5</v>
      </c>
      <c r="AK14" s="26"/>
      <c r="AO14" s="161">
        <v>0.49399999999999999</v>
      </c>
      <c r="AT14" s="161">
        <v>0.32200000000000001</v>
      </c>
      <c r="AZ14" s="161">
        <v>0.41799999999999998</v>
      </c>
      <c r="BE14" s="161">
        <v>0.45200000000000001</v>
      </c>
      <c r="BK14" s="161">
        <v>0.38200000000000001</v>
      </c>
      <c r="BP14" s="161">
        <v>0.39100000000000001</v>
      </c>
      <c r="BQ14" s="161"/>
      <c r="BR14" s="161"/>
      <c r="BS14" s="161"/>
      <c r="BT14" s="161"/>
      <c r="BU14" s="161">
        <v>0.5</v>
      </c>
      <c r="BV14" s="161"/>
      <c r="BW14" s="161"/>
      <c r="BX14" s="161"/>
    </row>
    <row r="15" spans="1:76">
      <c r="D15" t="s">
        <v>68</v>
      </c>
      <c r="H15" s="26"/>
      <c r="I15" s="161">
        <v>0.68600000000000005</v>
      </c>
      <c r="J15" s="15">
        <f>7/26</f>
        <v>0.26923076923076922</v>
      </c>
      <c r="K15" s="15"/>
      <c r="L15" s="15"/>
      <c r="M15" s="15"/>
      <c r="N15" s="161">
        <v>0.66200000000000003</v>
      </c>
      <c r="O15" s="15"/>
      <c r="P15" s="15"/>
      <c r="Q15" s="15"/>
      <c r="R15" s="15"/>
      <c r="S15" s="15"/>
      <c r="T15" s="161">
        <v>0.56799999999999995</v>
      </c>
      <c r="U15" s="15"/>
      <c r="V15" s="15"/>
      <c r="W15" s="15"/>
      <c r="X15" s="15"/>
      <c r="Y15" s="230">
        <v>0.45700000000000002</v>
      </c>
      <c r="Z15" s="231"/>
      <c r="AA15" s="26"/>
      <c r="AB15" s="26"/>
      <c r="AC15" s="26"/>
      <c r="AD15" s="161">
        <v>0.73599999999999999</v>
      </c>
      <c r="AE15" s="231"/>
      <c r="AF15" s="26"/>
      <c r="AG15" s="26"/>
      <c r="AH15" s="26"/>
      <c r="AI15" s="26"/>
      <c r="AJ15" s="161">
        <v>0.63200000000000001</v>
      </c>
      <c r="AK15" s="26"/>
      <c r="AO15" s="161">
        <v>0.60299999999999998</v>
      </c>
      <c r="AT15" s="161">
        <v>0.436</v>
      </c>
      <c r="AZ15" s="161">
        <v>0.41199999999999998</v>
      </c>
      <c r="BE15" s="161">
        <v>0.29199999999999998</v>
      </c>
      <c r="BK15" s="161">
        <v>0.48099999999999998</v>
      </c>
      <c r="BP15" s="161">
        <v>0.5</v>
      </c>
      <c r="BQ15" s="161"/>
      <c r="BR15" s="161"/>
      <c r="BS15" s="161"/>
      <c r="BT15" s="161"/>
      <c r="BU15" s="161">
        <v>0.53400000000000003</v>
      </c>
      <c r="BV15" s="161"/>
      <c r="BW15" s="161"/>
      <c r="BX15" s="161"/>
    </row>
    <row r="16" spans="1:76" s="11" customFormat="1">
      <c r="A16" s="10" t="s">
        <v>345</v>
      </c>
      <c r="B16" s="10"/>
      <c r="C16" s="54" t="s">
        <v>2</v>
      </c>
      <c r="I16" s="153"/>
      <c r="N16" s="153"/>
      <c r="T16" s="153"/>
      <c r="Y16" s="229"/>
      <c r="Z16" s="229"/>
      <c r="AD16" s="153"/>
      <c r="AE16" s="229"/>
      <c r="AJ16" s="153"/>
      <c r="AO16" s="153"/>
      <c r="AT16" s="153"/>
      <c r="AZ16" s="153"/>
      <c r="BE16" s="153"/>
      <c r="BK16" s="153"/>
      <c r="BP16" s="153"/>
      <c r="BQ16" s="153"/>
      <c r="BR16" s="153"/>
      <c r="BS16" s="153"/>
      <c r="BT16" s="153"/>
      <c r="BU16" s="153"/>
      <c r="BV16" s="153"/>
      <c r="BW16" s="153"/>
      <c r="BX16" s="153"/>
    </row>
    <row r="17" spans="1:79">
      <c r="C17" s="337" t="s">
        <v>346</v>
      </c>
      <c r="D17" t="s">
        <v>67</v>
      </c>
      <c r="I17" s="154"/>
      <c r="N17" s="154"/>
      <c r="O17" t="s">
        <v>294</v>
      </c>
      <c r="T17" s="154"/>
      <c r="Y17" s="227"/>
      <c r="Z17" s="227"/>
      <c r="AD17" s="154"/>
      <c r="AE17" s="227"/>
      <c r="AJ17" s="154"/>
      <c r="AO17" s="154"/>
      <c r="AT17" s="154"/>
      <c r="AZ17" s="154"/>
      <c r="BE17" s="154"/>
      <c r="BK17" s="154"/>
      <c r="BP17" s="154"/>
      <c r="BQ17" s="154"/>
      <c r="BR17" s="154"/>
      <c r="BS17" s="154"/>
      <c r="BT17" s="154"/>
      <c r="BU17" s="154"/>
      <c r="BV17" s="223"/>
      <c r="BW17" s="223"/>
      <c r="BX17" s="155">
        <f>(168.5-108.8)/168.5</f>
        <v>0.35430267062314541</v>
      </c>
    </row>
    <row r="18" spans="1:79">
      <c r="C18" s="337"/>
      <c r="D18" t="s">
        <v>68</v>
      </c>
      <c r="I18" s="154"/>
      <c r="N18" s="154"/>
      <c r="T18" s="154"/>
      <c r="Y18" s="227"/>
      <c r="Z18" s="227"/>
      <c r="AD18" s="154"/>
      <c r="AE18" s="227"/>
      <c r="AJ18" s="154"/>
      <c r="AO18" s="154"/>
      <c r="AT18" s="154"/>
      <c r="AZ18" s="154"/>
      <c r="BE18" s="154"/>
      <c r="BK18" s="154"/>
      <c r="BP18" s="154"/>
      <c r="BQ18" s="154"/>
      <c r="BR18" s="154"/>
      <c r="BS18" s="154"/>
      <c r="BT18" s="154"/>
      <c r="BU18" s="154"/>
      <c r="BV18" s="223"/>
      <c r="BW18" s="223"/>
      <c r="BX18" s="155">
        <f>(256.1-184.1)/256.1</f>
        <v>0.28114017961733706</v>
      </c>
    </row>
    <row r="19" spans="1:79" s="11" customFormat="1">
      <c r="A19" s="10" t="s">
        <v>347</v>
      </c>
      <c r="B19" s="10"/>
      <c r="C19" s="54" t="s">
        <v>2</v>
      </c>
      <c r="I19" s="153"/>
      <c r="N19" s="153"/>
      <c r="T19" s="153"/>
      <c r="Y19" s="229"/>
      <c r="Z19" s="229"/>
      <c r="AD19" s="153"/>
      <c r="AE19" s="229"/>
      <c r="AJ19" s="153"/>
      <c r="AO19" s="153"/>
      <c r="AT19" s="153"/>
      <c r="AZ19" s="153"/>
      <c r="BE19" s="153"/>
      <c r="BK19" s="153"/>
      <c r="BP19" s="153"/>
      <c r="BQ19" s="153"/>
      <c r="BR19" s="153"/>
      <c r="BS19" s="153"/>
      <c r="BT19" s="153"/>
      <c r="BU19" s="153"/>
      <c r="BV19" s="153"/>
      <c r="BW19" s="153"/>
      <c r="BX19" s="153"/>
    </row>
    <row r="20" spans="1:79">
      <c r="B20" t="s">
        <v>348</v>
      </c>
      <c r="C20" s="58">
        <v>1</v>
      </c>
      <c r="D20" t="s">
        <v>67</v>
      </c>
      <c r="I20" s="154"/>
      <c r="N20" s="154"/>
      <c r="T20" s="154"/>
      <c r="Y20" s="227"/>
      <c r="Z20" s="227"/>
      <c r="AD20" s="154"/>
      <c r="AE20" s="227"/>
      <c r="AJ20" s="154"/>
      <c r="AO20" s="154"/>
      <c r="AT20" s="154"/>
      <c r="AZ20" s="154"/>
      <c r="BE20" s="154"/>
      <c r="BK20" s="154"/>
      <c r="BP20" s="154"/>
      <c r="BQ20" s="154"/>
      <c r="BR20" s="154"/>
      <c r="BS20" s="154"/>
      <c r="BT20" s="154"/>
      <c r="BU20" s="154"/>
      <c r="BV20" s="154"/>
      <c r="BW20" s="154"/>
      <c r="BX20" s="154"/>
      <c r="BY20" t="s">
        <v>349</v>
      </c>
      <c r="CA20" t="s">
        <v>350</v>
      </c>
    </row>
    <row r="21" spans="1:79">
      <c r="D21" t="s">
        <v>68</v>
      </c>
      <c r="I21" s="154"/>
      <c r="N21" s="154"/>
      <c r="T21" s="154"/>
      <c r="Y21" s="227"/>
      <c r="Z21" s="227"/>
      <c r="AD21" s="154"/>
      <c r="AE21" s="227"/>
      <c r="AJ21" s="154"/>
      <c r="AO21" s="154"/>
      <c r="AT21" s="154"/>
      <c r="AZ21" s="154"/>
      <c r="BE21" s="154"/>
      <c r="BK21" s="154"/>
      <c r="BP21" s="154"/>
      <c r="BQ21" s="154"/>
      <c r="BR21" s="154"/>
      <c r="BS21" s="154"/>
      <c r="BT21" s="154"/>
      <c r="BU21" s="154"/>
      <c r="BV21" s="154"/>
      <c r="BW21" s="154"/>
      <c r="BX21" s="154"/>
    </row>
    <row r="22" spans="1:79" s="11" customFormat="1">
      <c r="A22" s="10" t="s">
        <v>271</v>
      </c>
      <c r="B22" s="10"/>
      <c r="C22" s="54" t="s">
        <v>2</v>
      </c>
      <c r="I22" s="153"/>
      <c r="N22" s="153"/>
      <c r="T22" s="153"/>
      <c r="Y22" s="229"/>
      <c r="Z22" s="229"/>
      <c r="AD22" s="153"/>
      <c r="AE22" s="229"/>
      <c r="AJ22" s="153"/>
      <c r="AO22" s="153"/>
      <c r="AT22" s="153"/>
      <c r="AZ22" s="153"/>
      <c r="BE22" s="153"/>
      <c r="BK22" s="153"/>
      <c r="BP22" s="153"/>
      <c r="BQ22" s="153"/>
      <c r="BR22" s="153"/>
      <c r="BS22" s="153"/>
      <c r="BT22" s="153"/>
      <c r="BU22" s="153"/>
      <c r="BV22" s="153"/>
      <c r="BW22" s="153"/>
      <c r="BX22" s="153"/>
    </row>
    <row r="23" spans="1:79">
      <c r="B23" t="s">
        <v>351</v>
      </c>
      <c r="D23" t="s">
        <v>67</v>
      </c>
      <c r="I23" s="154"/>
      <c r="N23" s="154"/>
      <c r="T23" s="154"/>
      <c r="Y23" s="227"/>
      <c r="Z23" s="227"/>
      <c r="AD23" s="154"/>
      <c r="AE23" s="227"/>
      <c r="AJ23" s="154"/>
      <c r="AO23" s="154"/>
      <c r="AT23" s="154"/>
      <c r="AZ23" s="155">
        <v>0.17</v>
      </c>
      <c r="BE23" s="155">
        <v>0.31</v>
      </c>
      <c r="BK23" s="155">
        <v>0.28000000000000003</v>
      </c>
      <c r="BP23" s="155">
        <v>0.2</v>
      </c>
      <c r="BQ23" s="154"/>
      <c r="BR23" s="154"/>
      <c r="BS23" s="154"/>
      <c r="BT23" s="154"/>
      <c r="BU23" s="155">
        <v>0.24</v>
      </c>
      <c r="BV23" s="154"/>
      <c r="BW23" s="154"/>
      <c r="BX23" s="154"/>
    </row>
    <row r="24" spans="1:79" s="11" customFormat="1">
      <c r="A24" s="10" t="s">
        <v>352</v>
      </c>
      <c r="B24" s="10"/>
      <c r="C24" s="54" t="s">
        <v>2</v>
      </c>
      <c r="I24" s="153"/>
      <c r="N24" s="153"/>
      <c r="T24" s="153"/>
      <c r="Y24" s="229"/>
      <c r="Z24" s="229"/>
      <c r="AD24" s="153"/>
      <c r="AE24" s="229"/>
      <c r="AJ24" s="153"/>
      <c r="AO24" s="153"/>
      <c r="AT24" s="153"/>
      <c r="AZ24" s="153"/>
      <c r="BE24" s="153"/>
      <c r="BK24" s="153"/>
      <c r="BP24" s="153"/>
      <c r="BQ24" s="153"/>
      <c r="BR24" s="153"/>
      <c r="BS24" s="153"/>
      <c r="BT24" s="153"/>
      <c r="BU24" s="153"/>
      <c r="BV24" s="153"/>
      <c r="BW24" s="153"/>
      <c r="BX24" s="153"/>
    </row>
    <row r="25" spans="1:79">
      <c r="D25" t="s">
        <v>67</v>
      </c>
      <c r="I25" s="223">
        <v>2033</v>
      </c>
      <c r="J25" s="14"/>
      <c r="K25" s="14"/>
      <c r="L25" s="14"/>
      <c r="M25" s="14"/>
      <c r="N25" s="223">
        <v>2542</v>
      </c>
      <c r="O25" s="224"/>
      <c r="P25" s="224"/>
      <c r="Q25" s="224"/>
      <c r="R25" s="224"/>
      <c r="S25" s="224"/>
      <c r="T25" s="223">
        <v>2040</v>
      </c>
      <c r="U25" s="14"/>
      <c r="V25" s="14"/>
      <c r="W25" s="14"/>
      <c r="X25" s="14"/>
      <c r="Y25" s="233">
        <v>2139</v>
      </c>
      <c r="Z25" s="227"/>
      <c r="AD25" s="223">
        <v>2158.5</v>
      </c>
      <c r="AE25" s="227"/>
      <c r="AJ25" s="223">
        <v>1895.34</v>
      </c>
      <c r="AO25" s="223">
        <v>518.44000000000005</v>
      </c>
      <c r="AT25" s="223">
        <v>1884.9</v>
      </c>
      <c r="AZ25" s="168">
        <f>+'Company Scorecard'!BF56</f>
        <v>88.16</v>
      </c>
      <c r="BA25" s="168">
        <f>+'Company Scorecard'!BG56</f>
        <v>0</v>
      </c>
      <c r="BB25" s="168">
        <f>+'Company Scorecard'!BH56</f>
        <v>0</v>
      </c>
      <c r="BC25" s="168">
        <f>+'Company Scorecard'!BI56</f>
        <v>0</v>
      </c>
      <c r="BD25" s="168">
        <f>+'Company Scorecard'!BJ56</f>
        <v>0</v>
      </c>
      <c r="BE25" s="168">
        <f>+'Company Scorecard'!BK56</f>
        <v>88.233522781774582</v>
      </c>
      <c r="BF25" s="168">
        <f>+'Company Scorecard'!BL56</f>
        <v>0</v>
      </c>
      <c r="BG25" s="168">
        <f>+'Company Scorecard'!BM56</f>
        <v>0</v>
      </c>
      <c r="BH25" s="168">
        <f>+'Company Scorecard'!BN56</f>
        <v>0</v>
      </c>
      <c r="BI25" s="168">
        <f>+'Company Scorecard'!BO56</f>
        <v>0</v>
      </c>
      <c r="BJ25" s="168">
        <f>+'Company Scorecard'!BP56</f>
        <v>0</v>
      </c>
      <c r="BK25" s="168">
        <f>+'Company Scorecard'!BQ56</f>
        <v>83.692487266553485</v>
      </c>
      <c r="BL25" s="168">
        <f>+'Company Scorecard'!BR56</f>
        <v>0</v>
      </c>
      <c r="BM25" s="168">
        <f>+'Company Scorecard'!BS56</f>
        <v>0</v>
      </c>
      <c r="BN25" s="168">
        <f>+'Company Scorecard'!BT56</f>
        <v>0</v>
      </c>
      <c r="BO25" s="168">
        <f>+'Company Scorecard'!BU56</f>
        <v>0</v>
      </c>
      <c r="BP25" s="168">
        <f>+'Company Scorecard'!BV56</f>
        <v>77.825966629588422</v>
      </c>
      <c r="BQ25" s="168">
        <f>+'Company Scorecard'!BW56</f>
        <v>0</v>
      </c>
      <c r="BR25" s="168">
        <f>+'Company Scorecard'!BX56</f>
        <v>0</v>
      </c>
      <c r="BS25" s="168">
        <f>+'Company Scorecard'!BY56</f>
        <v>0</v>
      </c>
      <c r="BT25" s="168">
        <f>+'Company Scorecard'!BZ56</f>
        <v>0</v>
      </c>
      <c r="BU25" s="168">
        <f>+'Company Scorecard'!CA56</f>
        <v>75.074102040816328</v>
      </c>
      <c r="BV25" s="223"/>
      <c r="BW25" s="223"/>
      <c r="BX25" s="223"/>
    </row>
    <row r="26" spans="1:79">
      <c r="D26" t="s">
        <v>68</v>
      </c>
      <c r="I26" s="223">
        <v>2261</v>
      </c>
      <c r="J26" s="14"/>
      <c r="K26" s="14"/>
      <c r="L26" s="14"/>
      <c r="M26" s="14"/>
      <c r="N26" s="223">
        <v>2569</v>
      </c>
      <c r="O26" s="224"/>
      <c r="P26" s="224"/>
      <c r="Q26" s="224"/>
      <c r="R26" s="224"/>
      <c r="S26" s="224"/>
      <c r="T26" s="223">
        <v>2614</v>
      </c>
      <c r="U26" s="14"/>
      <c r="V26" s="14"/>
      <c r="W26" s="14"/>
      <c r="X26" s="14"/>
      <c r="Y26" s="233">
        <v>2722</v>
      </c>
      <c r="Z26" s="227"/>
      <c r="AD26" s="223">
        <v>2545.0100000000002</v>
      </c>
      <c r="AE26" s="227"/>
      <c r="AJ26" s="223">
        <v>2344.61</v>
      </c>
      <c r="AO26" s="223">
        <v>1968.29</v>
      </c>
      <c r="AT26" s="223">
        <v>2172.0100000000002</v>
      </c>
      <c r="AZ26" s="61">
        <f>+'Company Scorecard'!BF57</f>
        <v>66.8</v>
      </c>
      <c r="BA26" s="61">
        <f>+'Company Scorecard'!BG57</f>
        <v>0</v>
      </c>
      <c r="BB26" s="61">
        <f>+'Company Scorecard'!BH57</f>
        <v>0</v>
      </c>
      <c r="BC26" s="61">
        <f>+'Company Scorecard'!BI57</f>
        <v>0</v>
      </c>
      <c r="BD26" s="61">
        <f>+'Company Scorecard'!BJ57</f>
        <v>0</v>
      </c>
      <c r="BE26" s="61">
        <f>+'Company Scorecard'!BK57</f>
        <v>65.560146853146861</v>
      </c>
      <c r="BF26" s="61">
        <f>+'Company Scorecard'!BL57</f>
        <v>0</v>
      </c>
      <c r="BG26" s="61">
        <f>+'Company Scorecard'!BM57</f>
        <v>0</v>
      </c>
      <c r="BH26" s="61">
        <f>+'Company Scorecard'!BN57</f>
        <v>0</v>
      </c>
      <c r="BI26" s="61">
        <f>+'Company Scorecard'!BO57</f>
        <v>0</v>
      </c>
      <c r="BJ26" s="61">
        <f>+'Company Scorecard'!BP57</f>
        <v>0</v>
      </c>
      <c r="BK26" s="61">
        <f>+'Company Scorecard'!BQ57</f>
        <v>69.1710233592881</v>
      </c>
      <c r="BL26" s="61">
        <f>+'Company Scorecard'!BR57</f>
        <v>0</v>
      </c>
      <c r="BM26" s="61">
        <f>+'Company Scorecard'!BS57</f>
        <v>0</v>
      </c>
      <c r="BN26" s="61">
        <f>+'Company Scorecard'!BT57</f>
        <v>0</v>
      </c>
      <c r="BO26" s="61">
        <f>+'Company Scorecard'!BU57</f>
        <v>0</v>
      </c>
      <c r="BP26" s="61">
        <f>+'Company Scorecard'!BV57</f>
        <v>75.268387096774191</v>
      </c>
      <c r="BQ26" s="61">
        <f>+'Company Scorecard'!BW57</f>
        <v>0</v>
      </c>
      <c r="BR26" s="61">
        <f>+'Company Scorecard'!BX57</f>
        <v>0</v>
      </c>
      <c r="BS26" s="61">
        <f>+'Company Scorecard'!BY57</f>
        <v>0</v>
      </c>
      <c r="BT26" s="61">
        <f>+'Company Scorecard'!BZ57</f>
        <v>0</v>
      </c>
      <c r="BU26" s="61">
        <f>+'Company Scorecard'!CA57</f>
        <v>91.686332671957658</v>
      </c>
      <c r="BV26" s="223"/>
      <c r="BW26" s="223"/>
      <c r="BX26" s="223"/>
    </row>
    <row r="27" spans="1:79" s="11" customFormat="1" ht="18" customHeight="1">
      <c r="A27" s="50" t="s">
        <v>353</v>
      </c>
      <c r="C27" s="54" t="s">
        <v>2</v>
      </c>
      <c r="S27" s="128"/>
    </row>
    <row r="28" spans="1:79" s="240" customFormat="1">
      <c r="A28" s="239" t="s">
        <v>354</v>
      </c>
      <c r="C28" s="241">
        <v>0.97</v>
      </c>
      <c r="D28" t="s">
        <v>67</v>
      </c>
    </row>
    <row r="29" spans="1:79">
      <c r="A29" s="39"/>
      <c r="C29" s="58">
        <v>0.97</v>
      </c>
      <c r="D29" t="s">
        <v>68</v>
      </c>
    </row>
    <row r="30" spans="1:79" s="11" customFormat="1">
      <c r="A30" s="50" t="s">
        <v>355</v>
      </c>
      <c r="C30" s="54" t="s">
        <v>2</v>
      </c>
    </row>
    <row r="31" spans="1:79">
      <c r="A31" t="s">
        <v>354</v>
      </c>
      <c r="C31" s="58">
        <v>1</v>
      </c>
      <c r="D31" t="s">
        <v>67</v>
      </c>
    </row>
  </sheetData>
  <mergeCells count="1">
    <mergeCell ref="E2:H2"/>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4DB182A8C5A3B4F86904957EEC3B976" ma:contentTypeVersion="6" ma:contentTypeDescription="Create a new document." ma:contentTypeScope="" ma:versionID="116c02d187039eef5c9b5d2b27be6e93">
  <xsd:schema xmlns:xsd="http://www.w3.org/2001/XMLSchema" xmlns:xs="http://www.w3.org/2001/XMLSchema" xmlns:p="http://schemas.microsoft.com/office/2006/metadata/properties" xmlns:ns2="f188a951-3024-435d-8c1b-5d4f74403923" xmlns:ns3="34d70eca-cd11-46ce-9138-38299212a367" targetNamespace="http://schemas.microsoft.com/office/2006/metadata/properties" ma:root="true" ma:fieldsID="2a89a66e43f92955b642b5b274b2024a" ns2:_="" ns3:_="">
    <xsd:import namespace="f188a951-3024-435d-8c1b-5d4f74403923"/>
    <xsd:import namespace="34d70eca-cd11-46ce-9138-38299212a36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88a951-3024-435d-8c1b-5d4f744039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d70eca-cd11-46ce-9138-38299212a36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47AD9A0-83B9-4DA7-A8EA-B7F801F670C1}"/>
</file>

<file path=customXml/itemProps2.xml><?xml version="1.0" encoding="utf-8"?>
<ds:datastoreItem xmlns:ds="http://schemas.openxmlformats.org/officeDocument/2006/customXml" ds:itemID="{C9FDECF0-F08F-4910-80C9-FEB0F257F5CE}"/>
</file>

<file path=customXml/itemProps3.xml><?xml version="1.0" encoding="utf-8"?>
<ds:datastoreItem xmlns:ds="http://schemas.openxmlformats.org/officeDocument/2006/customXml" ds:itemID="{EE1D06B1-C61D-4191-A44E-6AEA5EA8A8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Serene Liu</dc:creator>
  <cp:keywords/>
  <dc:description/>
  <cp:lastModifiedBy/>
  <cp:revision/>
  <dcterms:created xsi:type="dcterms:W3CDTF">2024-12-12T22:01:20Z</dcterms:created>
  <dcterms:modified xsi:type="dcterms:W3CDTF">2026-05-05T16:56:27Z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0x010100C4DB182A8C5A3B4F86904957EEC3B976</vt:lpwstr>
  </property>
</Properties>
</file>